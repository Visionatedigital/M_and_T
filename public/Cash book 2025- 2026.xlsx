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5fbb43bcd72ef56/Desktop/"/>
    </mc:Choice>
  </mc:AlternateContent>
  <xr:revisionPtr revIDLastSave="6" documentId="11_F25DC773A252ABDACC104816791E509E5BDE58E4" xr6:coauthVersionLast="47" xr6:coauthVersionMax="47" xr10:uidLastSave="{5C6D19AD-C005-467A-9343-205E0C357C45}"/>
  <bookViews>
    <workbookView xWindow="-110" yWindow="-110" windowWidth="19420" windowHeight="10300" xr2:uid="{00000000-000D-0000-FFFF-FFFF00000000}"/>
  </bookViews>
  <sheets>
    <sheet name="2025" sheetId="2" r:id="rId1"/>
    <sheet name="2026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03" i="2" l="1"/>
  <c r="D603" i="2"/>
  <c r="F5" i="2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F301" i="2" s="1"/>
  <c r="F302" i="2" s="1"/>
  <c r="F303" i="2" s="1"/>
  <c r="F304" i="2" s="1"/>
  <c r="F305" i="2" s="1"/>
  <c r="F306" i="2" s="1"/>
  <c r="F307" i="2" s="1"/>
  <c r="F308" i="2" s="1"/>
  <c r="F309" i="2" s="1"/>
  <c r="F310" i="2" s="1"/>
  <c r="F311" i="2" s="1"/>
  <c r="F312" i="2" s="1"/>
  <c r="F313" i="2" s="1"/>
  <c r="F314" i="2" s="1"/>
  <c r="F315" i="2" s="1"/>
  <c r="F316" i="2" s="1"/>
  <c r="F317" i="2" s="1"/>
  <c r="F318" i="2" s="1"/>
  <c r="F319" i="2" s="1"/>
  <c r="F320" i="2" s="1"/>
  <c r="F321" i="2" s="1"/>
  <c r="F322" i="2" s="1"/>
  <c r="F323" i="2" s="1"/>
  <c r="F324" i="2" s="1"/>
  <c r="F325" i="2" s="1"/>
  <c r="F326" i="2" s="1"/>
  <c r="F327" i="2" s="1"/>
  <c r="F328" i="2" s="1"/>
  <c r="F329" i="2" s="1"/>
  <c r="F330" i="2" s="1"/>
  <c r="F331" i="2" s="1"/>
  <c r="F332" i="2" s="1"/>
  <c r="F333" i="2" s="1"/>
  <c r="F334" i="2" s="1"/>
  <c r="F335" i="2" s="1"/>
  <c r="F336" i="2" s="1"/>
  <c r="F337" i="2" s="1"/>
  <c r="F338" i="2" s="1"/>
  <c r="F339" i="2" s="1"/>
  <c r="F340" i="2" s="1"/>
  <c r="F341" i="2" s="1"/>
  <c r="F342" i="2" s="1"/>
  <c r="F343" i="2" s="1"/>
  <c r="F344" i="2" s="1"/>
  <c r="F345" i="2" s="1"/>
  <c r="F346" i="2" s="1"/>
  <c r="F347" i="2" s="1"/>
  <c r="F348" i="2" s="1"/>
  <c r="F349" i="2" s="1"/>
  <c r="F350" i="2" s="1"/>
  <c r="F351" i="2" s="1"/>
  <c r="F352" i="2" s="1"/>
  <c r="F353" i="2" s="1"/>
  <c r="F354" i="2" s="1"/>
  <c r="F355" i="2" s="1"/>
  <c r="F356" i="2" s="1"/>
  <c r="F357" i="2" s="1"/>
  <c r="F358" i="2" s="1"/>
  <c r="F359" i="2" s="1"/>
  <c r="F360" i="2" s="1"/>
  <c r="F361" i="2" s="1"/>
  <c r="F362" i="2" s="1"/>
  <c r="F363" i="2" s="1"/>
  <c r="F364" i="2" s="1"/>
  <c r="F365" i="2" s="1"/>
  <c r="F366" i="2" s="1"/>
  <c r="F367" i="2" s="1"/>
  <c r="F368" i="2" s="1"/>
  <c r="F369" i="2" s="1"/>
  <c r="F370" i="2" s="1"/>
  <c r="F371" i="2" s="1"/>
  <c r="F372" i="2" s="1"/>
  <c r="F373" i="2" s="1"/>
  <c r="F374" i="2" s="1"/>
  <c r="F375" i="2" s="1"/>
  <c r="F376" i="2" s="1"/>
  <c r="F377" i="2" s="1"/>
  <c r="F378" i="2" s="1"/>
  <c r="F379" i="2" s="1"/>
  <c r="F380" i="2" s="1"/>
  <c r="F381" i="2" s="1"/>
  <c r="F382" i="2" s="1"/>
  <c r="F383" i="2" s="1"/>
  <c r="F384" i="2" s="1"/>
  <c r="F385" i="2" s="1"/>
  <c r="F386" i="2" s="1"/>
  <c r="F387" i="2" s="1"/>
  <c r="F388" i="2" s="1"/>
  <c r="F389" i="2" s="1"/>
  <c r="F390" i="2" s="1"/>
  <c r="F391" i="2" s="1"/>
  <c r="F392" i="2" s="1"/>
  <c r="F393" i="2" s="1"/>
  <c r="F394" i="2" s="1"/>
  <c r="F395" i="2" s="1"/>
  <c r="F396" i="2" s="1"/>
  <c r="F397" i="2" s="1"/>
  <c r="F398" i="2" s="1"/>
  <c r="F399" i="2" s="1"/>
  <c r="F400" i="2" s="1"/>
  <c r="F401" i="2" s="1"/>
  <c r="F402" i="2" s="1"/>
  <c r="F403" i="2" s="1"/>
  <c r="F404" i="2" s="1"/>
  <c r="F405" i="2" s="1"/>
  <c r="F406" i="2" s="1"/>
  <c r="F407" i="2" s="1"/>
  <c r="F408" i="2" s="1"/>
  <c r="F409" i="2" s="1"/>
  <c r="F410" i="2" s="1"/>
  <c r="F411" i="2" s="1"/>
  <c r="F412" i="2" s="1"/>
  <c r="F413" i="2" s="1"/>
  <c r="F414" i="2" s="1"/>
  <c r="F415" i="2" s="1"/>
  <c r="F416" i="2" s="1"/>
  <c r="F417" i="2" s="1"/>
  <c r="F418" i="2" s="1"/>
  <c r="F419" i="2" s="1"/>
  <c r="F420" i="2" s="1"/>
  <c r="F421" i="2" s="1"/>
  <c r="F422" i="2" s="1"/>
  <c r="F423" i="2" s="1"/>
  <c r="F424" i="2" s="1"/>
  <c r="F425" i="2" s="1"/>
  <c r="F426" i="2" s="1"/>
  <c r="F427" i="2" s="1"/>
  <c r="F428" i="2" s="1"/>
  <c r="F429" i="2" s="1"/>
  <c r="F430" i="2" s="1"/>
  <c r="F431" i="2" s="1"/>
  <c r="F432" i="2" s="1"/>
  <c r="F433" i="2" s="1"/>
  <c r="F434" i="2" s="1"/>
  <c r="F435" i="2" s="1"/>
  <c r="F436" i="2" s="1"/>
  <c r="F437" i="2" s="1"/>
  <c r="F438" i="2" s="1"/>
  <c r="F439" i="2" s="1"/>
  <c r="F440" i="2" s="1"/>
  <c r="F441" i="2" s="1"/>
  <c r="F442" i="2" s="1"/>
  <c r="F443" i="2" s="1"/>
  <c r="F444" i="2" s="1"/>
  <c r="F445" i="2" s="1"/>
  <c r="F446" i="2" s="1"/>
  <c r="F447" i="2" s="1"/>
  <c r="F448" i="2" s="1"/>
  <c r="F449" i="2" s="1"/>
  <c r="F450" i="2" s="1"/>
  <c r="F451" i="2" s="1"/>
  <c r="F452" i="2" s="1"/>
  <c r="F453" i="2" s="1"/>
  <c r="F454" i="2" s="1"/>
  <c r="F455" i="2" s="1"/>
  <c r="F456" i="2" s="1"/>
  <c r="F457" i="2" s="1"/>
  <c r="F458" i="2" s="1"/>
  <c r="F459" i="2" s="1"/>
  <c r="F460" i="2" s="1"/>
  <c r="F461" i="2" s="1"/>
  <c r="F462" i="2" s="1"/>
  <c r="F463" i="2" s="1"/>
  <c r="F464" i="2" s="1"/>
  <c r="F465" i="2" s="1"/>
  <c r="F466" i="2" s="1"/>
  <c r="F467" i="2" s="1"/>
  <c r="F468" i="2" s="1"/>
  <c r="F469" i="2" s="1"/>
  <c r="F470" i="2" s="1"/>
  <c r="F471" i="2" s="1"/>
  <c r="F472" i="2" s="1"/>
  <c r="F473" i="2" s="1"/>
  <c r="F474" i="2" s="1"/>
  <c r="F475" i="2" s="1"/>
  <c r="F476" i="2" s="1"/>
  <c r="F477" i="2" s="1"/>
  <c r="F478" i="2" s="1"/>
  <c r="F479" i="2" s="1"/>
  <c r="F480" i="2" s="1"/>
  <c r="F481" i="2" s="1"/>
  <c r="F482" i="2" s="1"/>
  <c r="F483" i="2" s="1"/>
  <c r="F484" i="2" s="1"/>
  <c r="F485" i="2" s="1"/>
  <c r="F486" i="2" s="1"/>
  <c r="F487" i="2" s="1"/>
  <c r="F488" i="2" s="1"/>
  <c r="F489" i="2" s="1"/>
  <c r="F490" i="2" s="1"/>
  <c r="F491" i="2" s="1"/>
  <c r="F492" i="2" s="1"/>
  <c r="F493" i="2" s="1"/>
  <c r="F494" i="2" s="1"/>
  <c r="F495" i="2" s="1"/>
  <c r="F496" i="2" s="1"/>
  <c r="F497" i="2" s="1"/>
  <c r="F498" i="2" s="1"/>
  <c r="F499" i="2" s="1"/>
  <c r="F500" i="2" s="1"/>
  <c r="F501" i="2" s="1"/>
  <c r="F502" i="2" s="1"/>
  <c r="F503" i="2" s="1"/>
  <c r="F504" i="2" s="1"/>
  <c r="F505" i="2" s="1"/>
  <c r="F506" i="2" s="1"/>
  <c r="F507" i="2" s="1"/>
  <c r="F508" i="2" s="1"/>
  <c r="F509" i="2" s="1"/>
  <c r="F510" i="2" s="1"/>
  <c r="F511" i="2" s="1"/>
  <c r="F512" i="2" s="1"/>
  <c r="F513" i="2" s="1"/>
  <c r="F514" i="2" s="1"/>
  <c r="F515" i="2" s="1"/>
  <c r="F516" i="2" s="1"/>
  <c r="F517" i="2" s="1"/>
  <c r="F518" i="2" s="1"/>
  <c r="F519" i="2" s="1"/>
  <c r="F520" i="2" s="1"/>
  <c r="F521" i="2" s="1"/>
  <c r="F522" i="2" s="1"/>
  <c r="F523" i="2" s="1"/>
  <c r="F524" i="2" s="1"/>
  <c r="F525" i="2" s="1"/>
  <c r="F526" i="2" s="1"/>
  <c r="F527" i="2" s="1"/>
  <c r="F528" i="2" s="1"/>
  <c r="F529" i="2" s="1"/>
  <c r="F530" i="2" s="1"/>
  <c r="F531" i="2" s="1"/>
  <c r="F532" i="2" s="1"/>
  <c r="F533" i="2" s="1"/>
  <c r="F534" i="2" s="1"/>
  <c r="F535" i="2" s="1"/>
  <c r="F536" i="2" s="1"/>
  <c r="F537" i="2" s="1"/>
  <c r="F538" i="2" s="1"/>
  <c r="F539" i="2" s="1"/>
  <c r="F540" i="2" s="1"/>
  <c r="F541" i="2" s="1"/>
  <c r="F542" i="2" s="1"/>
  <c r="F543" i="2" s="1"/>
  <c r="F544" i="2" s="1"/>
  <c r="F545" i="2" s="1"/>
  <c r="F546" i="2" s="1"/>
  <c r="F547" i="2" s="1"/>
  <c r="F548" i="2" s="1"/>
  <c r="F549" i="2" s="1"/>
  <c r="F550" i="2" s="1"/>
  <c r="F551" i="2" s="1"/>
  <c r="F552" i="2" s="1"/>
  <c r="F553" i="2" s="1"/>
  <c r="F554" i="2" s="1"/>
  <c r="F555" i="2" s="1"/>
  <c r="F556" i="2" s="1"/>
  <c r="F557" i="2" s="1"/>
  <c r="F558" i="2" s="1"/>
  <c r="F559" i="2" s="1"/>
  <c r="F560" i="2" s="1"/>
  <c r="F561" i="2" s="1"/>
  <c r="F562" i="2" s="1"/>
  <c r="F563" i="2" s="1"/>
  <c r="F564" i="2" s="1"/>
  <c r="F565" i="2" s="1"/>
  <c r="F566" i="2" s="1"/>
  <c r="F567" i="2" s="1"/>
  <c r="F568" i="2" s="1"/>
  <c r="F569" i="2" s="1"/>
  <c r="F570" i="2" s="1"/>
  <c r="F571" i="2" s="1"/>
  <c r="F572" i="2" s="1"/>
  <c r="F573" i="2" s="1"/>
  <c r="F574" i="2" s="1"/>
  <c r="F575" i="2" s="1"/>
  <c r="F576" i="2" s="1"/>
  <c r="F577" i="2" s="1"/>
  <c r="F578" i="2" s="1"/>
  <c r="F579" i="2" s="1"/>
  <c r="F580" i="2" s="1"/>
  <c r="F581" i="2" s="1"/>
  <c r="F582" i="2" s="1"/>
  <c r="F583" i="2" s="1"/>
  <c r="F584" i="2" s="1"/>
  <c r="F585" i="2" s="1"/>
  <c r="F586" i="2" s="1"/>
  <c r="F587" i="2" s="1"/>
  <c r="F588" i="2" s="1"/>
  <c r="F589" i="2" s="1"/>
  <c r="F590" i="2" s="1"/>
  <c r="F591" i="2" s="1"/>
  <c r="F592" i="2" s="1"/>
  <c r="F593" i="2" s="1"/>
  <c r="F594" i="2" s="1"/>
  <c r="F595" i="2" s="1"/>
  <c r="F596" i="2" s="1"/>
  <c r="F597" i="2" s="1"/>
  <c r="F598" i="2" s="1"/>
  <c r="F599" i="2" s="1"/>
  <c r="F600" i="2" s="1"/>
  <c r="F601" i="2" s="1"/>
  <c r="F4" i="2"/>
  <c r="E81" i="1"/>
  <c r="D81" i="1"/>
  <c r="F2" i="1"/>
  <c r="F81" i="1" s="1"/>
  <c r="F603" i="2" l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Mitchle</author>
    <author>Author</author>
    <author>Joan</author>
  </authors>
  <commentList>
    <comment ref="E54" authorId="0" shapeId="0" xr:uid="{A654D660-2650-42F5-9B3A-7503142AA3B0}">
      <text>
        <r>
          <rPr>
            <b/>
            <sz val="9"/>
            <color indexed="81"/>
            <rFont val="Tahoma"/>
            <family val="2"/>
          </rPr>
          <t>Mitchle:</t>
        </r>
        <r>
          <rPr>
            <sz val="9"/>
            <color indexed="81"/>
            <rFont val="Tahoma"/>
            <family val="2"/>
          </rPr>
          <t xml:space="preserve">
9000(refund to junior )
p</t>
        </r>
      </text>
    </comment>
    <comment ref="E379" authorId="0" shapeId="0" xr:uid="{DDFAD9DE-12BA-41C8-84FB-D9C3F212838A}">
      <text>
        <r>
          <rPr>
            <b/>
            <sz val="9"/>
            <color indexed="81"/>
            <rFont val="Tahoma"/>
            <family val="2"/>
          </rPr>
          <t>Mitchle:</t>
        </r>
        <r>
          <rPr>
            <sz val="9"/>
            <color indexed="81"/>
            <rFont val="Tahoma"/>
            <family val="2"/>
          </rPr>
          <t xml:space="preserve">
Salary 700k 
Less advance 50k</t>
        </r>
      </text>
    </comment>
    <comment ref="E440" authorId="1" shapeId="0" xr:uid="{62D98CFB-D207-4ABC-8B42-082019B0A92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Salary 700k 
Less advance 50k</t>
        </r>
      </text>
    </comment>
    <comment ref="E495" authorId="1" shapeId="0" xr:uid="{5F0AF639-0FA2-4687-9492-4C5E7A9FADF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Salary 700k 
Less advance 50k</t>
        </r>
      </text>
    </comment>
    <comment ref="E526" authorId="2" shapeId="0" xr:uid="{9CC255CC-0586-4CEA-9281-9B2DD91826A0}">
      <text>
        <r>
          <rPr>
            <b/>
            <sz val="9"/>
            <color indexed="81"/>
            <rFont val="Tahoma"/>
            <family val="2"/>
          </rPr>
          <t>Joan:</t>
        </r>
        <r>
          <rPr>
            <sz val="9"/>
            <color indexed="81"/>
            <rFont val="Tahoma"/>
            <family val="2"/>
          </rPr>
          <t xml:space="preserve">
Gross Pay        1,500,000
Less paye          352,000
less 5% Nssf        75,000
Net Pay        1,073,000
</t>
        </r>
      </text>
    </comment>
    <comment ref="E527" authorId="1" shapeId="0" xr:uid="{7A2F0397-A703-45D5-A853-035D47519BC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Salary 700k 
Less advance 50k</t>
        </r>
      </text>
    </comment>
    <comment ref="E580" authorId="2" shapeId="0" xr:uid="{CCB74AF5-0BCD-4E2A-8F41-2E936F3343FD}">
      <text>
        <r>
          <rPr>
            <b/>
            <sz val="9"/>
            <color indexed="81"/>
            <rFont val="Tahoma"/>
            <family val="2"/>
          </rPr>
          <t>Joan:</t>
        </r>
        <r>
          <rPr>
            <sz val="9"/>
            <color indexed="81"/>
            <rFont val="Tahoma"/>
            <family val="2"/>
          </rPr>
          <t xml:space="preserve">
Gross Pay        1,500,000
Less paye          352,000
less 5% Nssf        75,000
Net Pay        1,073,000
</t>
        </r>
      </text>
    </comment>
    <comment ref="E581" authorId="1" shapeId="0" xr:uid="{91EA7638-D040-4643-8D6D-0F1E39DDB0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Salary 700k 
Less advance 50k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</author>
  </authors>
  <commentList>
    <comment ref="E13" authorId="0" shapeId="0" xr:uid="{37CEF8BE-2281-4A77-8EBF-68CC63A8CFE6}">
      <text>
        <r>
          <rPr>
            <b/>
            <sz val="9"/>
            <color indexed="81"/>
            <rFont val="Tahoma"/>
            <family val="2"/>
          </rPr>
          <t>Joan:</t>
        </r>
        <r>
          <rPr>
            <sz val="9"/>
            <color indexed="81"/>
            <rFont val="Tahoma"/>
            <family val="2"/>
          </rPr>
          <t xml:space="preserve">
Gross Pay        1,500,000
Less paye          352,000
less 5% Nssf        75,000
Net Pay        1,073,000
</t>
        </r>
      </text>
    </comment>
  </commentList>
</comments>
</file>

<file path=xl/sharedStrings.xml><?xml version="1.0" encoding="utf-8"?>
<sst xmlns="http://schemas.openxmlformats.org/spreadsheetml/2006/main" count="755" uniqueCount="573">
  <si>
    <t xml:space="preserve">  </t>
  </si>
  <si>
    <t>Expenditure Description</t>
  </si>
  <si>
    <t>Payments</t>
  </si>
  <si>
    <t>Balances</t>
  </si>
  <si>
    <t>Opening Balance</t>
  </si>
  <si>
    <t>19/01/2026</t>
  </si>
  <si>
    <t>Withdraw from 100104816 to 1004815</t>
  </si>
  <si>
    <t>Liquid soap payment</t>
  </si>
  <si>
    <t>Motorcycle Repair</t>
  </si>
  <si>
    <t xml:space="preserve">Loan disk subscription </t>
  </si>
  <si>
    <t>December Payment to Liz for the system</t>
  </si>
  <si>
    <t>Refund to Junior for Drinking water in the Nakasero office</t>
  </si>
  <si>
    <t>Kasangati rent payment for the month of January,2026</t>
  </si>
  <si>
    <t>Bulk charges</t>
  </si>
  <si>
    <t>Bulk interest from Airtel</t>
  </si>
  <si>
    <t>28/01/2026</t>
  </si>
  <si>
    <t>BANK TO WALLET TRANSACTIONS</t>
  </si>
  <si>
    <t>Musimenta Junior Michael - General Manager  for the month of December,2025</t>
  </si>
  <si>
    <t>Keza Elizabeth  for the month of December,2025</t>
  </si>
  <si>
    <t>Musimenta Michael facilation for meal and field transportation for the month of December, 2025</t>
  </si>
  <si>
    <t>Musimenta Michael voice bundles for the month of December, 2025</t>
  </si>
  <si>
    <t>29/01/2026</t>
  </si>
  <si>
    <t xml:space="preserve">Payment to Varlon Technologies </t>
  </si>
  <si>
    <t>30/01/2026</t>
  </si>
  <si>
    <t>Payment to Joselyne for URSB renewal</t>
  </si>
  <si>
    <t>BANK TO WALLET TRANSACTIONS BY Junior Ref No.011BTWM260350195</t>
  </si>
  <si>
    <t>Fuel Facilitation to Kasangati</t>
  </si>
  <si>
    <t>Bank to wallet charges</t>
  </si>
  <si>
    <t>Withdraw from 100104816 to 1004815 ID NO.140235203739</t>
  </si>
  <si>
    <t>Security fees refund to Kahinga Alex Robert group</t>
  </si>
  <si>
    <t>Transaction charges</t>
  </si>
  <si>
    <t>14/02/2026</t>
  </si>
  <si>
    <t>Withdraw from the bank cheque  no.000040</t>
  </si>
  <si>
    <t>Kasangati rent fot the month of February,2026</t>
  </si>
  <si>
    <t>Office cleaner Kasangati for the month of January,2026</t>
  </si>
  <si>
    <t>Office cleaner Nakasero</t>
  </si>
  <si>
    <t>Nakasero rent fot the month of January,2026</t>
  </si>
  <si>
    <t>Mutendwa Sadam facilitation for meal and field transportation for the month of  January,2026</t>
  </si>
  <si>
    <t xml:space="preserve"> Bukenya Benon facilitation for meal and field transportation for the month of  January,2026</t>
  </si>
  <si>
    <t>Mutendwa Sadam voice bundles for the month of   January,2026</t>
  </si>
  <si>
    <t>Bukenya Benon voice bundles for the month of    January,2026</t>
  </si>
  <si>
    <t>Disbursement to 6 clients</t>
  </si>
  <si>
    <t>URA</t>
  </si>
  <si>
    <t>NSSF</t>
  </si>
  <si>
    <t>Bank charges</t>
  </si>
  <si>
    <t>Withdraw charges</t>
  </si>
  <si>
    <t>Transport for Liz to the bank</t>
  </si>
  <si>
    <t>17/02/2026</t>
  </si>
  <si>
    <t>Withdraw from 100104816 to 100104815</t>
  </si>
  <si>
    <t>Refund to Liz for loan disk subscription</t>
  </si>
  <si>
    <t>Nakasero office wifi</t>
  </si>
  <si>
    <t>Payment to Varlon Technologyies for bulk sms</t>
  </si>
  <si>
    <t xml:space="preserve">Junior`s fuel facilitation to kasangati </t>
  </si>
  <si>
    <t>Charges</t>
  </si>
  <si>
    <t>18/02/2026</t>
  </si>
  <si>
    <t>Bank to Wallet by Junior Ref.No 011BTWM260490132</t>
  </si>
  <si>
    <t>Disbursement to Grace Junior`s friend</t>
  </si>
  <si>
    <t>19/02/2026</t>
  </si>
  <si>
    <t>BANK TO BANK</t>
  </si>
  <si>
    <t>Miscellaneous customer debit application fees</t>
  </si>
  <si>
    <t>Miscellaneous customer debit CRB collections inquiry fees</t>
  </si>
  <si>
    <t>21/02/2026</t>
  </si>
  <si>
    <t>Withdraw from the bank cheque  no.000041</t>
  </si>
  <si>
    <t>Disbursement to 9 clients</t>
  </si>
  <si>
    <t>Nakasero electricity payment</t>
  </si>
  <si>
    <t>Bukenya Benon-Salary for the month of January,2026</t>
  </si>
  <si>
    <t xml:space="preserve">Nuwahereza Enos-Field transportation </t>
  </si>
  <si>
    <t xml:space="preserve"> Security refund to 3clients in Fred group</t>
  </si>
  <si>
    <t>Boda- boda new Key switch purchase</t>
  </si>
  <si>
    <t>25/02/2026</t>
  </si>
  <si>
    <t>BANK TO WALLET Ref.No 011ZEXA260560119</t>
  </si>
  <si>
    <t>Sadam's transport to the field</t>
  </si>
  <si>
    <t>27/02/2026</t>
  </si>
  <si>
    <t>Withdraw from the bank cheque  no.000043</t>
  </si>
  <si>
    <t>28/02/2026</t>
  </si>
  <si>
    <t>Disbursement to 16  clients</t>
  </si>
  <si>
    <t>Refund to MD for Junior`s fuel facilitation to Kasangati</t>
  </si>
  <si>
    <t>Nakasero Cleaner</t>
  </si>
  <si>
    <t xml:space="preserve">Men 4 long sleeved shirts each </t>
  </si>
  <si>
    <t>Men long sleeved shirts each at 30000</t>
  </si>
  <si>
    <t>4@30000</t>
  </si>
  <si>
    <t xml:space="preserve">Lady`s long sleeved shirt </t>
  </si>
  <si>
    <t>2@ 35000</t>
  </si>
  <si>
    <t xml:space="preserve">Color shirts </t>
  </si>
  <si>
    <t>3@15000</t>
  </si>
  <si>
    <t>Embroidery at 5000 per shirt</t>
  </si>
  <si>
    <t>Digitalising</t>
  </si>
  <si>
    <t>Transport to Naalya to deliver the uniforms</t>
  </si>
  <si>
    <t>Service fee/labor</t>
  </si>
  <si>
    <t>Transaction fees</t>
  </si>
  <si>
    <t>Loan Repayment on the company line</t>
  </si>
  <si>
    <t>MANDT MICROFINANCE UGANDA LIMITED CASHBOOK JANUARY-DECEMBER 2025</t>
  </si>
  <si>
    <t>Opening Balance as 31st December,2024</t>
  </si>
  <si>
    <t>Transport and meals facilitation for Bukenya Benon for the month of January,2025</t>
  </si>
  <si>
    <t>Airtel deposit charges</t>
  </si>
  <si>
    <t>Cash transfer from collection account to bulk account</t>
  </si>
  <si>
    <t>Transport and meals facilitation for Nassaka Huda for the month of January,2025</t>
  </si>
  <si>
    <t>Field transportation to Wamala Michael</t>
  </si>
  <si>
    <t>Payment to electricity for the month of January 2025</t>
  </si>
  <si>
    <t xml:space="preserve">Payment to URA </t>
  </si>
  <si>
    <t xml:space="preserve">Payment to NSSF </t>
  </si>
  <si>
    <t xml:space="preserve">Salary advance for Mutendwa Sadam </t>
  </si>
  <si>
    <t>Payment for rent for the month of January, 2025</t>
  </si>
  <si>
    <t>Payment to cleaner for the month of January,2025</t>
  </si>
  <si>
    <t>Airtel deposit</t>
  </si>
  <si>
    <t>Payment to field recovery to loan officers</t>
  </si>
  <si>
    <t>transaction charges</t>
  </si>
  <si>
    <t>Deposit to bulk account</t>
  </si>
  <si>
    <t>Disbursement to 22 clients</t>
  </si>
  <si>
    <t>Filing company annual returns with URSB</t>
  </si>
  <si>
    <t>Application for renewal of UMRA licence</t>
  </si>
  <si>
    <t>UMRA licence annual fee</t>
  </si>
  <si>
    <t>Facilitation for UMRA</t>
  </si>
  <si>
    <t>Joselyn`s legal fees</t>
  </si>
  <si>
    <t xml:space="preserve">Mobile money charges </t>
  </si>
  <si>
    <t>Interest</t>
  </si>
  <si>
    <t>mobile money charges</t>
  </si>
  <si>
    <t>Payment to URA penalty</t>
  </si>
  <si>
    <t>Cash withdraw from bulk account</t>
  </si>
  <si>
    <t>Disbursements  to 22 clients</t>
  </si>
  <si>
    <t>Transport fee to mukiga</t>
  </si>
  <si>
    <t>Transfer  charges</t>
  </si>
  <si>
    <t>Cash withdraw from centenary bank</t>
  </si>
  <si>
    <t>Borrowed cash from Liz</t>
  </si>
  <si>
    <t>Cash transfer from Airtel collection Account to Bulk account</t>
  </si>
  <si>
    <t>Disbursement to 20 clients</t>
  </si>
  <si>
    <t>Deposit charges</t>
  </si>
  <si>
    <t>Withdraw from centenary bank to Bulk account</t>
  </si>
  <si>
    <t>Disbursement to Tumwijukye Alex</t>
  </si>
  <si>
    <t>Withdraw charges by CEO</t>
  </si>
  <si>
    <t>Withdraw from centenary bank by junior</t>
  </si>
  <si>
    <t>Salary payment to Musimenta Michael for the month of January,2025</t>
  </si>
  <si>
    <t xml:space="preserve">Meals and field facilitation </t>
  </si>
  <si>
    <t>Voice bundles to Musimenta Michael for the month of February,2025</t>
  </si>
  <si>
    <t>Cash withdraw from airtel collection account to Bulk account</t>
  </si>
  <si>
    <t>Payment to Mukiga for transport from Kasanga to Nakasero to deliver a cheque</t>
  </si>
  <si>
    <t>Payment for forms</t>
  </si>
  <si>
    <t>Payment for electricity</t>
  </si>
  <si>
    <t>Payment for liz` data</t>
  </si>
  <si>
    <t>Payment for gabbage for the month of January,2025</t>
  </si>
  <si>
    <t>Payment to Alex for Junior`s computer repair</t>
  </si>
  <si>
    <t>Payment to the cleaner</t>
  </si>
  <si>
    <t xml:space="preserve">Refund to Liz toward`s Alex Tumwijukye`s loan </t>
  </si>
  <si>
    <t>Payment for rent for the month of February, 2025</t>
  </si>
  <si>
    <t>Salary payment for Mutendwa Sadam for the month of January,2025</t>
  </si>
  <si>
    <t>Facilitation for Ainebyoona Benson</t>
  </si>
  <si>
    <t>Meals and field facilitation to Mutendwa Sadam for the month of February,2025</t>
  </si>
  <si>
    <t>Meals and field facilitation to Bukenya Benon for the month of February,2025</t>
  </si>
  <si>
    <t>Facilitation to Kezza Elizabeth</t>
  </si>
  <si>
    <t>Voice bundles to Mutwendwa Sadam for the month of February,2025</t>
  </si>
  <si>
    <t>Voice bundles to Bukenya Benon for the month of February,2025</t>
  </si>
  <si>
    <t>Payment to URA</t>
  </si>
  <si>
    <t>Payment to NSSF</t>
  </si>
  <si>
    <t>Withdraw charges for NSSF &amp; URA</t>
  </si>
  <si>
    <t xml:space="preserve">Airtel transfer from collection account to bulk account </t>
  </si>
  <si>
    <t>Paymrnt to Auditir simin as part of his payment for the audit report 2024</t>
  </si>
  <si>
    <t>Withdraw from centenary bank</t>
  </si>
  <si>
    <t>Disbursement to 17 clients</t>
  </si>
  <si>
    <t>Cash Transfer from airtel collection account to Bulk account</t>
  </si>
  <si>
    <t>Refund to Musimenta Junior Micheal for withdrawing 3000,000 from centenary bank</t>
  </si>
  <si>
    <t>Withdraw from the bank cheque no.</t>
  </si>
  <si>
    <t>Withdraw from airtel collection account</t>
  </si>
  <si>
    <t>Disbursement to 13 clients</t>
  </si>
  <si>
    <t>Mobile charges</t>
  </si>
  <si>
    <t>Withdraw from collection account</t>
  </si>
  <si>
    <t>Disbursement to Grace</t>
  </si>
  <si>
    <t>Cash from Liz</t>
  </si>
  <si>
    <t>Disbursement to 10 clients</t>
  </si>
  <si>
    <t>Withdraw from Airtel collection account</t>
  </si>
  <si>
    <t>Bank charges for URA</t>
  </si>
  <si>
    <t>Disbursement to 3 clients</t>
  </si>
  <si>
    <t>Fuel to Mutendwa Sadam to collect collateral from a client that was running away</t>
  </si>
  <si>
    <t>Fuel to one of the clients who helped to get the defaulter</t>
  </si>
  <si>
    <t>Withdraw from centenary Bank</t>
  </si>
  <si>
    <t>Salary payment to Musimenta Michael for the month of February,2025</t>
  </si>
  <si>
    <t>Salary payment to Bukenya Benon for the month of February,2025</t>
  </si>
  <si>
    <t>Salary payment to Mutendwa Sadam for the month of February,2025</t>
  </si>
  <si>
    <t>Kezza Elizabeth for the month of February,2025</t>
  </si>
  <si>
    <t>Musimenta Michael facilation for meal and field transportation for the month of March, 2025</t>
  </si>
  <si>
    <t>Mutendwa Sadam facilitation for meal and field transportation for the month of March, 2025</t>
  </si>
  <si>
    <t>Musimenta Michael voice bundles for the month of March,2025</t>
  </si>
  <si>
    <t>Mutendwa Sadam voice bundles for the month of March,2025</t>
  </si>
  <si>
    <t>Rent payment for the month of March,2025</t>
  </si>
  <si>
    <t xml:space="preserve">Water payment </t>
  </si>
  <si>
    <t>Water reconnection</t>
  </si>
  <si>
    <t>Withdraw from the bank by liz</t>
  </si>
  <si>
    <t>Withdraw from airtel account</t>
  </si>
  <si>
    <t>Disbursement to 16 clients</t>
  </si>
  <si>
    <t>Payment to the policeman who was assaulted</t>
  </si>
  <si>
    <t>Payment to Jimmy for passbooks</t>
  </si>
  <si>
    <t>Disbursement to 5 clients</t>
  </si>
  <si>
    <t>Mobile money charges</t>
  </si>
  <si>
    <t>Salary payment to Musimenta Michael for the month of March,2025</t>
  </si>
  <si>
    <t>Salary payment to Bukenya Benon for the month of March,2025</t>
  </si>
  <si>
    <t>Salary payment to Mutendwa Sadam for the month of March,2025</t>
  </si>
  <si>
    <t>Kezza Elizabeth for the month of March,2025</t>
  </si>
  <si>
    <t>Musimenta Michael facilation for meal and field transportation for the month of April, 2025</t>
  </si>
  <si>
    <t>Mutendwa Sadam facilitation for meal and field transportation for the month of April, 2025</t>
  </si>
  <si>
    <t>Musimenta Michael voice bundles for the month of April, 2025</t>
  </si>
  <si>
    <t>Mutendwa Sadam voice bundles for the month of April, 2025</t>
  </si>
  <si>
    <t>Bukenya Benon voice bundles for the month of April, 2025</t>
  </si>
  <si>
    <t>Cash withdraw from airtel wallet</t>
  </si>
  <si>
    <t>Cash refund to liz</t>
  </si>
  <si>
    <t>Appraisal and voucher forms</t>
  </si>
  <si>
    <t>Electricity payment for the month of April 2025</t>
  </si>
  <si>
    <t>Data refund for the month of March 2025</t>
  </si>
  <si>
    <t>Data payment for the month of April 2025</t>
  </si>
  <si>
    <t>Payment for office files</t>
  </si>
  <si>
    <t>Payment to the cleaner for the month of March 2025</t>
  </si>
  <si>
    <t>Toilet brush</t>
  </si>
  <si>
    <t>Padlock</t>
  </si>
  <si>
    <t>Liquid soap</t>
  </si>
  <si>
    <t xml:space="preserve">Payment to auditor Simon </t>
  </si>
  <si>
    <t>Transport refund  to loan officers from kasangati to Nakasero and back to kasangati</t>
  </si>
  <si>
    <t>Rent payment for the month of April,2025</t>
  </si>
  <si>
    <t>Computer repair for liz</t>
  </si>
  <si>
    <t>Transport refund to Liz to check on loan officers at the police station</t>
  </si>
  <si>
    <t>Board resolution registration with housing finanace bank</t>
  </si>
  <si>
    <t>Legal fees to the lawyer</t>
  </si>
  <si>
    <t>Lawyer`s transport to the bank</t>
  </si>
  <si>
    <t>Loan disk</t>
  </si>
  <si>
    <t>Payment for centenary bank statement</t>
  </si>
  <si>
    <t>URA for the month of March 2025</t>
  </si>
  <si>
    <t>NSSF for the month of March 2025</t>
  </si>
  <si>
    <t>Disbursement to 15 clients</t>
  </si>
  <si>
    <t>Disbursement to 12 clients</t>
  </si>
  <si>
    <t>Refund to Kasekende Charles because the members were not comfortable with him</t>
  </si>
  <si>
    <t>Payment to staff IDs and reflectors</t>
  </si>
  <si>
    <t>Withdraw from airtel collect account</t>
  </si>
  <si>
    <t>Disbusement to 11 CLIENTS</t>
  </si>
  <si>
    <t>Cash withdraw from airtel account</t>
  </si>
  <si>
    <t>Payment for appraisal and voucher forms for the month of May,2025</t>
  </si>
  <si>
    <t>Electricity for the month of May 2025</t>
  </si>
  <si>
    <t>Office files</t>
  </si>
  <si>
    <t>Rent for the month of May 2025</t>
  </si>
  <si>
    <t>Computer repair for Liz</t>
  </si>
  <si>
    <t>Ream of Papers</t>
  </si>
  <si>
    <t>Toilet paper</t>
  </si>
  <si>
    <t>Gabbage</t>
  </si>
  <si>
    <t>Salary payment to Musimenta Michael for the month of April,2025</t>
  </si>
  <si>
    <t xml:space="preserve">Salary payment to Bukenya Benon for the month of April,2025 </t>
  </si>
  <si>
    <t>Salary payment to Mutendwa Sadam for the month of April,2025</t>
  </si>
  <si>
    <t>Kezza Elizabeth for the month of April,2025</t>
  </si>
  <si>
    <t>Musimenta Michael facilation for meal and field transportation for the month of May, 2025</t>
  </si>
  <si>
    <t>Mutendwa Sadam facilitation for meal and field transportation for the month of  May, 2025</t>
  </si>
  <si>
    <t>Musimenta Michael voice bundles for the month of  May, 2025</t>
  </si>
  <si>
    <t>Mutendwa Sadam voice bundles for the month of  May, 2025</t>
  </si>
  <si>
    <t>Bukenya Benon voice bundles for the month of  May, 2025</t>
  </si>
  <si>
    <t>Office data for the month of month of May ,2025</t>
  </si>
  <si>
    <t>Office cleaner for the month of April,2025</t>
  </si>
  <si>
    <t>Payment to URA for the month of April,2025</t>
  </si>
  <si>
    <t>Payment to NSSF for the month of April,2025</t>
  </si>
  <si>
    <t>Disbuesement to 20 clients</t>
  </si>
  <si>
    <t xml:space="preserve"> </t>
  </si>
  <si>
    <t>Payment to Mukiga</t>
  </si>
  <si>
    <t>Deposit to Junior</t>
  </si>
  <si>
    <t>Renewal Kasangati  trading licence</t>
  </si>
  <si>
    <t>Transport to kasangati town council offices</t>
  </si>
  <si>
    <t>Withdraw from the bank by Junior cheque number 000002</t>
  </si>
  <si>
    <t>Disbursement to 11 clients</t>
  </si>
  <si>
    <t>Loan disk payment</t>
  </si>
  <si>
    <t>charges</t>
  </si>
  <si>
    <t xml:space="preserve">Withdraw from Housing Finance bank cheque number </t>
  </si>
  <si>
    <t>Salary payment to Musimenta Michael for the month of May,2025</t>
  </si>
  <si>
    <t xml:space="preserve">Salary payment to Bukenya Benon for the month of May,2025 </t>
  </si>
  <si>
    <t>Salary payment to Mutendwa Sadam for the month of May,2025</t>
  </si>
  <si>
    <t>Kezza Elizabeth for the month of May,2025</t>
  </si>
  <si>
    <t>Musimenta Michael facilation for meal and field transportation for the month of June, 2025</t>
  </si>
  <si>
    <t>Mutendwa Sadam facilitation for meal and field transportation for the month of  June, 2025</t>
  </si>
  <si>
    <t>Musimenta Michael voice bundles for the month of  June, 2025</t>
  </si>
  <si>
    <t>Mutendwa Sadam voice bundles for the month of  June, 2025</t>
  </si>
  <si>
    <t>Bukenya Benon voice bundles for the month of  June, 2025</t>
  </si>
  <si>
    <t>Office data for the month of month of June,2025</t>
  </si>
  <si>
    <t>Payment to URA for the month of May,2025</t>
  </si>
  <si>
    <t>Payment to NSSF for the month of May,2025</t>
  </si>
  <si>
    <t>Rent for the month of June, 2025</t>
  </si>
  <si>
    <t>Electricity for the month of June, 2025</t>
  </si>
  <si>
    <t xml:space="preserve">Markers </t>
  </si>
  <si>
    <t>Pens</t>
  </si>
  <si>
    <t>Transport refund to Mutendwa Sadam from kasangati tinakasero for a meeting</t>
  </si>
  <si>
    <t>Transport refund to Bukenya Benon from kasangati tinakasero for a meeting</t>
  </si>
  <si>
    <t xml:space="preserve">Disbursement to </t>
  </si>
  <si>
    <t>Withdraw from Housing Finance bank cheque number 0000010</t>
  </si>
  <si>
    <t>Transport refund to Mukiga</t>
  </si>
  <si>
    <t>Mobile Charges</t>
  </si>
  <si>
    <t>Withdraw from Housing Finance Bank cheque number</t>
  </si>
  <si>
    <t>Disbursement to 19 clients</t>
  </si>
  <si>
    <t>Payment to passbooks</t>
  </si>
  <si>
    <t>Refund to Liz for loan disk subscription on 2nd June 2025</t>
  </si>
  <si>
    <t>Withdraw from the bank Cheque No.000012 by Junior</t>
  </si>
  <si>
    <t>Payment for appraisal and voucher forms</t>
  </si>
  <si>
    <t>Rent for the month of July,2025</t>
  </si>
  <si>
    <t>Electricity payment</t>
  </si>
  <si>
    <t>Ream</t>
  </si>
  <si>
    <t>Water paymentRubbish collection</t>
  </si>
  <si>
    <t>Rubbish collection</t>
  </si>
  <si>
    <t>Office electric bulbs</t>
  </si>
  <si>
    <t>Office staple wires</t>
  </si>
  <si>
    <t>Transort to Mutendwa Sadam from Kasangati to Nakasero foor a meeting on</t>
  </si>
  <si>
    <t>Toilet Paper</t>
  </si>
  <si>
    <t>Salary payment to Musimenta Michael for the month of June,2025</t>
  </si>
  <si>
    <t>Salary payment to Bukenya Benon for the month of June,2025</t>
  </si>
  <si>
    <t>Salary payment to Mutendwa Sadam for the month of June,2025</t>
  </si>
  <si>
    <t>Kezza Elizabeth for the month of June,2025</t>
  </si>
  <si>
    <t>Musimenta Michael facilation for meal and field transportation for the month of July, 2025</t>
  </si>
  <si>
    <t>Mutendwa Sadam facilitation for meal and field transportation for the month of  July, 2025</t>
  </si>
  <si>
    <t>Musimenta Michael voice bundles for the month of  July, 2025</t>
  </si>
  <si>
    <t>Mutendwa Sadam voice bundles for the month of  July, 2025</t>
  </si>
  <si>
    <t>Bukenya Benon voice bundles for the month of  July, 2025</t>
  </si>
  <si>
    <t>Office data for the month of month of July, 2025</t>
  </si>
  <si>
    <t>Office cleaner for the month of June,2025</t>
  </si>
  <si>
    <t>Payment to NSSF for the month of June,2025</t>
  </si>
  <si>
    <t>Withdraw from Housing Finance Bank Cheque No.000011 by Liz</t>
  </si>
  <si>
    <t>Fuel for Simon to Kasangati</t>
  </si>
  <si>
    <t>Transport for Liz to go to the bank</t>
  </si>
  <si>
    <t>Withdraw from the housing finance bank cheque No.000008 by Liz</t>
  </si>
  <si>
    <t>Disbursement to 18 clients</t>
  </si>
  <si>
    <t>Transport to the bank for liz</t>
  </si>
  <si>
    <t>Withdraw from Housing Finance Bank Cheque No.00009 by Liz</t>
  </si>
  <si>
    <t>Disbursements to</t>
  </si>
  <si>
    <t>Office Phone</t>
  </si>
  <si>
    <t>Security Withdraw to Kalo Robert</t>
  </si>
  <si>
    <t>Bulk  charges</t>
  </si>
  <si>
    <t>Withdraw from Housing Finance Bank Cheque No.000013</t>
  </si>
  <si>
    <t>Purchase of Office Furniture</t>
  </si>
  <si>
    <t>Transport from china town lugogo to Nakasero office</t>
  </si>
  <si>
    <t>Withdraw from collection account to bulk account Transaction ID</t>
  </si>
  <si>
    <t>Payment for woolen carpet</t>
  </si>
  <si>
    <t>Installation</t>
  </si>
  <si>
    <t>Transport to deliver the carpet</t>
  </si>
  <si>
    <t>Transfer charges</t>
  </si>
  <si>
    <t>Borrowed cash from liz</t>
  </si>
  <si>
    <t>Transport and labor fees to assemble office furniture</t>
  </si>
  <si>
    <t>Cash Withdraw from Housing Finance Bank Cheque No.000015</t>
  </si>
  <si>
    <t>Cash from Liz to Airtel bulk account Account</t>
  </si>
  <si>
    <t>Disbursement to 9 Clients</t>
  </si>
  <si>
    <t>Cash Withdraw from Housing Finance Bank Cheque No.000014 by liz</t>
  </si>
  <si>
    <t>Appraisal and Voucher forms</t>
  </si>
  <si>
    <t>Rent for the month of August,2025</t>
  </si>
  <si>
    <t>Stapling machine</t>
  </si>
  <si>
    <t>Office set for Ronald</t>
  </si>
  <si>
    <t>Punching Machine</t>
  </si>
  <si>
    <t>Deposit to David</t>
  </si>
  <si>
    <t>L.O BOOKS</t>
  </si>
  <si>
    <t>Dustbin</t>
  </si>
  <si>
    <t>Loan Disk</t>
  </si>
  <si>
    <t>Stick notes</t>
  </si>
  <si>
    <t>Refund to Junior</t>
  </si>
  <si>
    <t>Salary payment to Musimenta Michael for the month of July,2025</t>
  </si>
  <si>
    <t>Salary payment to Bukenya Benon for the month of  July,2025</t>
  </si>
  <si>
    <t>Salary payment to Mutendwa Sadam for the month of  July,,2025</t>
  </si>
  <si>
    <t>Kezza Elizabeth for the month of  July,,2025</t>
  </si>
  <si>
    <t>Musimenta Michael facilation for meal and field transportation for the month of August, 2025</t>
  </si>
  <si>
    <t>Mutendwa Sadam facilitation for meal and field transportation for the month of  August, 2025</t>
  </si>
  <si>
    <t>Musimenta Michael voice bundles for the month of  August, 2025</t>
  </si>
  <si>
    <t>Mutendwa Sadam voice bundles for the month of  August, 2025</t>
  </si>
  <si>
    <t>Bukenya Benon voice bundles for the month of  August, 2025</t>
  </si>
  <si>
    <t>Office data for the month of month of August, 2025</t>
  </si>
  <si>
    <t>Office cleaner for the month of  July,2025</t>
  </si>
  <si>
    <t>Payment to NSSF for the month of  July,,2025</t>
  </si>
  <si>
    <t xml:space="preserve">Withdraw from Housing Finance by Liz cheque Number </t>
  </si>
  <si>
    <t xml:space="preserve">Disbursement to 12 clients </t>
  </si>
  <si>
    <t>Transport to Mukiga for transporting office furniture from China town to Nakasero</t>
  </si>
  <si>
    <t xml:space="preserve">Liz`s transport to the bank </t>
  </si>
  <si>
    <t>Disbursement to Kayondo</t>
  </si>
  <si>
    <t>Withdraw from Housing Finance Bank by Liz cheque number 0000018</t>
  </si>
  <si>
    <t>Payment to David for shelves</t>
  </si>
  <si>
    <t>Refund to LIZ forDavid`s transport to Deliver shelves</t>
  </si>
  <si>
    <t>Refund to Liz for office WIFI</t>
  </si>
  <si>
    <t>Withdraw from Housing Finance Bank by Junior cheque number 0000021</t>
  </si>
  <si>
    <t>Salary payment to Bukenya Benon for the month of  August,2025</t>
  </si>
  <si>
    <t>Salary payment to Mutendwa Sadam for the month of  August,2025</t>
  </si>
  <si>
    <t>Kezza Elizabeth for the month of  August,2025</t>
  </si>
  <si>
    <t>Office cleaner for the month of  August,2025</t>
  </si>
  <si>
    <t>Purchase for a new catridge</t>
  </si>
  <si>
    <t>Disbursement to Kalo Robert</t>
  </si>
  <si>
    <t>Mobile and Bank charges</t>
  </si>
  <si>
    <t>Withdraw from Housing Finance by Liz cheque Number 00000</t>
  </si>
  <si>
    <t>Transport refund to Anison from Ggaba to Kasangati and back to IUEA ON 3rd/09/2025</t>
  </si>
  <si>
    <t>Transport refund to Anison from IUEA to Nakasero and back to IUEA ON 4th/09/2025</t>
  </si>
  <si>
    <t>Lunch for Anison on 04/09/2025</t>
  </si>
  <si>
    <t>Transport refund to Anison from IUEA to Nakasero and back to IUEA ON 5th/09/2025</t>
  </si>
  <si>
    <t>Transport to Annison</t>
  </si>
  <si>
    <t>Cash withdraw from from Housing Finance Bank by Junior</t>
  </si>
  <si>
    <t>Deposit back to Housing Finance bank by Annison</t>
  </si>
  <si>
    <t>Disbursement to 14 clients</t>
  </si>
  <si>
    <t>Payment to Joselyne</t>
  </si>
  <si>
    <t>Transport for Anison to pick money from Junior and go to the bank</t>
  </si>
  <si>
    <t>Withdraw from COLLECTION ACcount to bulk account Transaction ID</t>
  </si>
  <si>
    <t>Payment to Oscar for Company search fee(I&amp;M) bank</t>
  </si>
  <si>
    <t>Transport and meal facilitation for Anison on 15th September,2025</t>
  </si>
  <si>
    <t>Withdraw from Housing Finance Bank cheque No.000027</t>
  </si>
  <si>
    <t xml:space="preserve">Refund  to the Director </t>
  </si>
  <si>
    <t>Junior's fuel refund to the Director</t>
  </si>
  <si>
    <t>Musimenta Michael facilation for meal and field transportation for the month of September, 2025</t>
  </si>
  <si>
    <t>Mutendwa Sadam facilitation for meal and field transportation for the month of   September, 2025</t>
  </si>
  <si>
    <t>Musimenta Michael voice bundles for the month of   September, 2025</t>
  </si>
  <si>
    <t>Mutendwa Sadam voice bundles for the month of   September, 2025</t>
  </si>
  <si>
    <t>Bukenya Benon voice bundles for the month of   September, 2025</t>
  </si>
  <si>
    <t>Office data for the month of month of  September, 2025</t>
  </si>
  <si>
    <t>Squizer</t>
  </si>
  <si>
    <t>Box of water</t>
  </si>
  <si>
    <t>Replacement of UPS batteries 9AH(Desktop UPS) to Alex</t>
  </si>
  <si>
    <t>Installation/Configuration of HP LaserJet P1102 on the computer/Labour</t>
  </si>
  <si>
    <t>Loan disk subscription</t>
  </si>
  <si>
    <t>Mouse</t>
  </si>
  <si>
    <t>Kasangati Rent from 1st -30th September 2025</t>
  </si>
  <si>
    <t>Nakasero rent from 1st August to 1st November,2025</t>
  </si>
  <si>
    <t>Anison facilitation</t>
  </si>
  <si>
    <t>Fuel for Junior to Kasangati</t>
  </si>
  <si>
    <t xml:space="preserve">Withdraw from Housing Finance Bank cheque number </t>
  </si>
  <si>
    <t>Disbursement to 7 clients</t>
  </si>
  <si>
    <t>Payment to Joselyne for a TIN certificate</t>
  </si>
  <si>
    <t>Withdraw from Housing Finance Bank cheque No.000024</t>
  </si>
  <si>
    <t>Anison`s facilitation for Tuesday 30th September,2025</t>
  </si>
  <si>
    <t xml:space="preserve"> NSSF</t>
  </si>
  <si>
    <t xml:space="preserve"> Withdraw charges</t>
  </si>
  <si>
    <t>Bulk Charges</t>
  </si>
  <si>
    <t>Subscription</t>
  </si>
  <si>
    <t>Junior`s fuel to Kasangati on 9th October,2025</t>
  </si>
  <si>
    <t>Anison`s facilitation for 9th October,2025</t>
  </si>
  <si>
    <t xml:space="preserve">Withdraw from Housing Finance Bank cheque No.000025 </t>
  </si>
  <si>
    <t>Withdraw from Airtel collection Acount</t>
  </si>
  <si>
    <t>Kasangati office rent from 1ST Ocober to 1st November,2025</t>
  </si>
  <si>
    <t>Refund to Joselyne</t>
  </si>
  <si>
    <t>October Salary advance for Annison</t>
  </si>
  <si>
    <t>Nakasero office broom</t>
  </si>
  <si>
    <t>Allocation Transfer(Interest)</t>
  </si>
  <si>
    <t>Withdraw from Housing Finance Bank cheque no.000026</t>
  </si>
  <si>
    <t>Musimenta Michael facilation for meal and field transportation for the month of October, 2025</t>
  </si>
  <si>
    <t>Mutendwa Sadam facilitation for meal and field transportation for the month of   October, 2025</t>
  </si>
  <si>
    <t>Musimenta Michael voice bundles for the month of October, 2025</t>
  </si>
  <si>
    <t>Mutendwa Sadam voice bundles for the month of   October, 2025</t>
  </si>
  <si>
    <t>Bukenya Benon voice bundles for the month of   October, 2025</t>
  </si>
  <si>
    <t>Office data for the month of month of  October, 2025</t>
  </si>
  <si>
    <t>Electricity payment month of  October, 2025</t>
  </si>
  <si>
    <t>Clients passbooks</t>
  </si>
  <si>
    <t>Annison`s meal and transport allowance for the month of October,2025</t>
  </si>
  <si>
    <t>Voucher and Appraisal forms</t>
  </si>
  <si>
    <t>Box of water for the Nakasero office</t>
  </si>
  <si>
    <t>NWSC</t>
  </si>
  <si>
    <t>Withdraw from Housing Finance Bank cheque no.000029</t>
  </si>
  <si>
    <t>Refund to Junior (Depoisit to I&amp;M Bank)</t>
  </si>
  <si>
    <t>Refund to Junior for Annison`s transport deposit money to I&amp;M Bank</t>
  </si>
  <si>
    <t>Junior`s fuel to Kasangati on 23rd October,2025</t>
  </si>
  <si>
    <t>Annison`s facilitation to Kasangati on 23rd October,2025</t>
  </si>
  <si>
    <t>Withdraw grom Housing Finance bank cheque no.000028</t>
  </si>
  <si>
    <t>Deposit to I&amp;M BANK</t>
  </si>
  <si>
    <t>Disbursements to 13 clients</t>
  </si>
  <si>
    <t>Withdraw from Housing Finance bank cheque number 000030</t>
  </si>
  <si>
    <t>Musimenta Junior Michael - General Manager  for the month of October,2025</t>
  </si>
  <si>
    <t>Mutendwa Sadam - Loans officer  for the month of  October,2025</t>
  </si>
  <si>
    <t>Bukenya Benon  for the month of October,2025</t>
  </si>
  <si>
    <t>Keza Elizabeth  for the month of October,2025</t>
  </si>
  <si>
    <t>Cleaner for the month of October,2025</t>
  </si>
  <si>
    <t>Anison Rugamba-Data analyst for the month of October,2025</t>
  </si>
  <si>
    <t>Mobile charges for both PAYE and NSSF</t>
  </si>
  <si>
    <t>CHARGES</t>
  </si>
  <si>
    <t>Fuel facilitation for Junior to Kasangati</t>
  </si>
  <si>
    <t>Transport facilitation for Anison to Kasangati</t>
  </si>
  <si>
    <t>Withdraw from Housing Finance Bank by Liz cheque number 0000031</t>
  </si>
  <si>
    <t>Withdraw from Collection ACcount to bulk account Transaction ID APCUG189369862610880</t>
  </si>
  <si>
    <t>Subscription(Loan Disk)</t>
  </si>
  <si>
    <t>Withdraw from Housing Bank by Liz cheque number 000034</t>
  </si>
  <si>
    <t>Withdraw from collection Account Transaction ID 134837808363</t>
  </si>
  <si>
    <t xml:space="preserve">Transport for Liz to the bank </t>
  </si>
  <si>
    <t>November Rent for Kasangati Office</t>
  </si>
  <si>
    <t>Withdraw from Housing Finance Bank cheque number 000035</t>
  </si>
  <si>
    <t>Disbursements to 10 clients</t>
  </si>
  <si>
    <t>Disbursement to Aryan Fathi</t>
  </si>
  <si>
    <t xml:space="preserve">Withdraw from I&amp;M Bank </t>
  </si>
  <si>
    <t>Musimenta Junior Michael - General Manager  for the month of November,2025</t>
  </si>
  <si>
    <t>Mutendwa Sadam - Loans officer  for the month of  November ,2025</t>
  </si>
  <si>
    <t>Bukenya Benon  for the month of November,2025</t>
  </si>
  <si>
    <t>Keza Elizabeth  for the month of November,2025</t>
  </si>
  <si>
    <t>Cleaner for the month of November,2025</t>
  </si>
  <si>
    <t>Musimenta Michael facilation for meal and field transportation for the month of November, 2025</t>
  </si>
  <si>
    <t>Mutendwa Sadam facilitation for meal and field transportation for the month of   November, 2025</t>
  </si>
  <si>
    <t>Musimenta Michael voice bundles for the month of November, 2025</t>
  </si>
  <si>
    <t>Mutendwa Sadam voice bundles for the month of   November, 2025</t>
  </si>
  <si>
    <t>Bukenya Benon voice bundles for the month of  November, 2025</t>
  </si>
  <si>
    <t>Office data for the month of month of  November, 2025</t>
  </si>
  <si>
    <t>Electricity payment month of  November, 2025</t>
  </si>
  <si>
    <t>FILES</t>
  </si>
  <si>
    <t>Box of Pens</t>
  </si>
  <si>
    <t>Box of Water</t>
  </si>
  <si>
    <t>Envelopes</t>
  </si>
  <si>
    <t>Nakasero office Rent from 1st November to 1st December 2025</t>
  </si>
  <si>
    <t>Received Cash from MD</t>
  </si>
  <si>
    <t>Boda boda Purchase(UFM 489 S)</t>
  </si>
  <si>
    <t>Tracker for the bike</t>
  </si>
  <si>
    <t>New battery for the motorcycle</t>
  </si>
  <si>
    <t>Income tax charges</t>
  </si>
  <si>
    <t>Card Transfer Fees</t>
  </si>
  <si>
    <t>Transport for the motorcycle to kasangati</t>
  </si>
  <si>
    <t>Fuel for the bike to Kasangati</t>
  </si>
  <si>
    <t>Replacement of Brakes and cratches for the bike</t>
  </si>
  <si>
    <t>Withdraw from Housing Finance Bank by Liz Cheque No.000037</t>
  </si>
  <si>
    <t xml:space="preserve">Cash transfer to Cathy to be paid back in 3 days </t>
  </si>
  <si>
    <t>Disbursementto Junior</t>
  </si>
  <si>
    <t>Cash with from Housing Finance by Liz Cheque No.000039</t>
  </si>
  <si>
    <t>Disbursement</t>
  </si>
  <si>
    <t>Kasangati Rent for the month of January,2025</t>
  </si>
  <si>
    <t>Loan Disk Subscription</t>
  </si>
  <si>
    <t>Withdraw from Airtel collection Acount by Liz approved by Junior</t>
  </si>
  <si>
    <t>Withdraw from Airtel Collection Account approved by MD</t>
  </si>
  <si>
    <t xml:space="preserve">Transfer to Ethan(Junior`s friend ) to be paid back in a week </t>
  </si>
  <si>
    <t>Withdraw from Housing Bank by Liz cheque number 000036</t>
  </si>
  <si>
    <t>Transfer to MD (To be refunded on 22nd  December,2025)</t>
  </si>
  <si>
    <t>Mutendwa Sadam - Loans officer  for the month of  December,2025</t>
  </si>
  <si>
    <t>Bukenya Benon  for the month of December,2025</t>
  </si>
  <si>
    <t>Cleaner for the month of December,2025</t>
  </si>
  <si>
    <t>Mutendwa Sadam facilitation for meal and field transportation for the month of   December, 2025</t>
  </si>
  <si>
    <t>Mutendwa Sadam voice bundles for the month of  December, 2025</t>
  </si>
  <si>
    <t>Bukenya Benon voice bundles for the month of   December, 2025</t>
  </si>
  <si>
    <t>Christmas for the Boda boda chairman</t>
  </si>
  <si>
    <t>Withdraw from Airtel Collection Account approved by Junior</t>
  </si>
  <si>
    <t>Nakasero rent from 1st December to 1st January,2026)</t>
  </si>
  <si>
    <t>Office data for the month of month of December, 2025</t>
  </si>
  <si>
    <t>PAYE</t>
  </si>
  <si>
    <t>Water payment</t>
  </si>
  <si>
    <t>Grand Total</t>
  </si>
  <si>
    <t xml:space="preserve">Date </t>
  </si>
  <si>
    <t>15/01/2025</t>
  </si>
  <si>
    <t>17/01/2025</t>
  </si>
  <si>
    <t>18/01/2025</t>
  </si>
  <si>
    <t>22/01/2025</t>
  </si>
  <si>
    <t>24/01/2025</t>
  </si>
  <si>
    <t>12/02/205</t>
  </si>
  <si>
    <t>18/02/2025</t>
  </si>
  <si>
    <t>22/02/2025</t>
  </si>
  <si>
    <t>15/03/2025</t>
  </si>
  <si>
    <t>17/03/2025</t>
  </si>
  <si>
    <t>19/03/2025</t>
  </si>
  <si>
    <t>19/04/2025</t>
  </si>
  <si>
    <t>28/04/2025</t>
  </si>
  <si>
    <t>15/05/2025</t>
  </si>
  <si>
    <t>18/05/2025</t>
  </si>
  <si>
    <t>19/05/2025</t>
  </si>
  <si>
    <t>22/05/2025</t>
  </si>
  <si>
    <t>24/05/2025</t>
  </si>
  <si>
    <t>27/05/2025</t>
  </si>
  <si>
    <t>31/05/2025</t>
  </si>
  <si>
    <t>14/06/2025</t>
  </si>
  <si>
    <t>23/06/2025</t>
  </si>
  <si>
    <t>30th June2025</t>
  </si>
  <si>
    <t>04th July,2025</t>
  </si>
  <si>
    <t>11th July,2025</t>
  </si>
  <si>
    <t>19th July,2025</t>
  </si>
  <si>
    <t>26th July,2025</t>
  </si>
  <si>
    <t>29/07/2025</t>
  </si>
  <si>
    <t>30/07/2025</t>
  </si>
  <si>
    <t>14/08/2025</t>
  </si>
  <si>
    <t>20/08/2025</t>
  </si>
  <si>
    <t>22/08/2025</t>
  </si>
  <si>
    <t>29/08/2025</t>
  </si>
  <si>
    <t>15/09/2025</t>
  </si>
  <si>
    <t>22/09/2025</t>
  </si>
  <si>
    <t>30./09/2025</t>
  </si>
  <si>
    <t>30/09/2025</t>
  </si>
  <si>
    <t>15/10/2025</t>
  </si>
  <si>
    <t>21/10/2025</t>
  </si>
  <si>
    <t>23/10/2025</t>
  </si>
  <si>
    <t>25/10/2025</t>
  </si>
  <si>
    <t>30/10/2025</t>
  </si>
  <si>
    <t>15/11/2025</t>
  </si>
  <si>
    <t>21/11/2025</t>
  </si>
  <si>
    <t>28/11/2025</t>
  </si>
  <si>
    <t>14/12/2025</t>
  </si>
  <si>
    <t>16/12/2025</t>
  </si>
  <si>
    <t>21/12/2025</t>
  </si>
  <si>
    <t>24/12/2025</t>
  </si>
  <si>
    <t>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</si>
</sst>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63">
    <xf numFmtId="0" fontId="0" fillId="0" borderId="0" xfId="0"/>
    <xf numFmtId="0" fontId="5" fillId="0" borderId="1" xfId="0" applyFont="1" applyBorder="1" applyAlignment="1">
      <alignment horizontal="center"/>
    </xf>
    <xf numFmtId="164" fontId="5" fillId="0" borderId="2" xfId="1" applyNumberFormat="1" applyFont="1" applyBorder="1" applyAlignment="1">
      <alignment horizontal="left"/>
    </xf>
    <xf numFmtId="165" fontId="5" fillId="0" borderId="3" xfId="1" applyNumberFormat="1" applyFont="1" applyBorder="1" applyAlignment="1">
      <alignment horizontal="center"/>
    </xf>
    <xf numFmtId="0" fontId="2" fillId="0" borderId="0" xfId="0" applyFont="1"/>
    <xf numFmtId="0" fontId="5" fillId="0" borderId="4" xfId="0" applyFont="1" applyBorder="1" applyAlignment="1">
      <alignment horizontal="center"/>
    </xf>
    <xf numFmtId="164" fontId="5" fillId="0" borderId="5" xfId="1" applyNumberFormat="1" applyFont="1" applyBorder="1" applyAlignment="1">
      <alignment horizontal="left"/>
    </xf>
    <xf numFmtId="0" fontId="0" fillId="2" borderId="3" xfId="0" applyFill="1" applyBorder="1"/>
    <xf numFmtId="165" fontId="0" fillId="2" borderId="3" xfId="1" applyNumberFormat="1" applyFont="1" applyFill="1" applyBorder="1"/>
    <xf numFmtId="165" fontId="1" fillId="2" borderId="3" xfId="1" applyNumberFormat="1" applyFont="1" applyFill="1" applyBorder="1"/>
    <xf numFmtId="0" fontId="0" fillId="0" borderId="3" xfId="0" applyBorder="1"/>
    <xf numFmtId="165" fontId="0" fillId="0" borderId="3" xfId="1" applyNumberFormat="1" applyFont="1" applyBorder="1"/>
    <xf numFmtId="165" fontId="1" fillId="0" borderId="3" xfId="1" applyNumberFormat="1" applyFont="1" applyFill="1" applyBorder="1"/>
    <xf numFmtId="0" fontId="6" fillId="0" borderId="3" xfId="0" applyFont="1" applyBorder="1"/>
    <xf numFmtId="0" fontId="0" fillId="0" borderId="6" xfId="0" applyBorder="1"/>
    <xf numFmtId="14" fontId="3" fillId="3" borderId="3" xfId="0" applyNumberFormat="1" applyFont="1" applyFill="1" applyBorder="1"/>
    <xf numFmtId="0" fontId="3" fillId="3" borderId="3" xfId="0" applyFont="1" applyFill="1" applyBorder="1"/>
    <xf numFmtId="165" fontId="3" fillId="3" borderId="3" xfId="1" applyNumberFormat="1" applyFont="1" applyFill="1" applyBorder="1"/>
    <xf numFmtId="0" fontId="4" fillId="0" borderId="3" xfId="3" applyBorder="1"/>
    <xf numFmtId="165" fontId="5" fillId="0" borderId="3" xfId="0" applyNumberFormat="1" applyFont="1" applyBorder="1"/>
    <xf numFmtId="0" fontId="9" fillId="0" borderId="0" xfId="0" applyFont="1"/>
    <xf numFmtId="165" fontId="9" fillId="0" borderId="0" xfId="1" applyNumberFormat="1" applyFont="1"/>
    <xf numFmtId="165" fontId="0" fillId="0" borderId="0" xfId="1" applyNumberFormat="1" applyFont="1"/>
    <xf numFmtId="165" fontId="0" fillId="0" borderId="3" xfId="1" applyNumberFormat="1" applyFont="1" applyBorder="1" applyAlignment="1">
      <alignment horizontal="center"/>
    </xf>
    <xf numFmtId="165" fontId="10" fillId="4" borderId="3" xfId="1" applyNumberFormat="1" applyFont="1" applyFill="1" applyBorder="1"/>
    <xf numFmtId="165" fontId="0" fillId="0" borderId="6" xfId="1" applyNumberFormat="1" applyFont="1" applyBorder="1" applyAlignment="1">
      <alignment horizontal="center"/>
    </xf>
    <xf numFmtId="165" fontId="0" fillId="0" borderId="6" xfId="1" applyNumberFormat="1" applyFont="1" applyBorder="1"/>
    <xf numFmtId="165" fontId="10" fillId="4" borderId="7" xfId="1" applyNumberFormat="1" applyFont="1" applyFill="1" applyBorder="1"/>
    <xf numFmtId="0" fontId="0" fillId="5" borderId="6" xfId="0" applyFill="1" applyBorder="1"/>
    <xf numFmtId="165" fontId="0" fillId="5" borderId="6" xfId="1" applyNumberFormat="1" applyFont="1" applyFill="1" applyBorder="1" applyAlignment="1">
      <alignment horizontal="center"/>
    </xf>
    <xf numFmtId="165" fontId="0" fillId="5" borderId="6" xfId="1" applyNumberFormat="1" applyFont="1" applyFill="1" applyBorder="1"/>
    <xf numFmtId="165" fontId="10" fillId="5" borderId="7" xfId="1" applyNumberFormat="1" applyFont="1" applyFill="1" applyBorder="1"/>
    <xf numFmtId="0" fontId="3" fillId="6" borderId="3" xfId="0" applyFont="1" applyFill="1" applyBorder="1"/>
    <xf numFmtId="165" fontId="3" fillId="6" borderId="3" xfId="1" applyNumberFormat="1" applyFont="1" applyFill="1" applyBorder="1"/>
    <xf numFmtId="165" fontId="11" fillId="7" borderId="7" xfId="1" applyNumberFormat="1" applyFont="1" applyFill="1" applyBorder="1"/>
    <xf numFmtId="0" fontId="3" fillId="8" borderId="3" xfId="0" applyFont="1" applyFill="1" applyBorder="1"/>
    <xf numFmtId="165" fontId="3" fillId="8" borderId="3" xfId="1" applyNumberFormat="1" applyFont="1" applyFill="1" applyBorder="1"/>
    <xf numFmtId="0" fontId="3" fillId="0" borderId="3" xfId="0" applyFont="1" applyBorder="1"/>
    <xf numFmtId="165" fontId="3" fillId="0" borderId="3" xfId="1" applyNumberFormat="1" applyFont="1" applyFill="1" applyBorder="1"/>
    <xf numFmtId="165" fontId="3" fillId="2" borderId="3" xfId="1" applyNumberFormat="1" applyFont="1" applyFill="1" applyBorder="1"/>
    <xf numFmtId="0" fontId="3" fillId="2" borderId="3" xfId="0" applyFont="1" applyFill="1" applyBorder="1"/>
    <xf numFmtId="0" fontId="3" fillId="3" borderId="6" xfId="0" applyFont="1" applyFill="1" applyBorder="1"/>
    <xf numFmtId="0" fontId="3" fillId="2" borderId="6" xfId="0" applyFont="1" applyFill="1" applyBorder="1"/>
    <xf numFmtId="165" fontId="3" fillId="0" borderId="3" xfId="1" applyNumberFormat="1" applyFont="1" applyBorder="1"/>
    <xf numFmtId="165" fontId="1" fillId="0" borderId="3" xfId="1" applyNumberFormat="1" applyFont="1" applyBorder="1"/>
    <xf numFmtId="0" fontId="3" fillId="5" borderId="3" xfId="0" applyFont="1" applyFill="1" applyBorder="1"/>
    <xf numFmtId="165" fontId="3" fillId="5" borderId="3" xfId="1" applyNumberFormat="1" applyFont="1" applyFill="1" applyBorder="1"/>
    <xf numFmtId="165" fontId="1" fillId="3" borderId="3" xfId="1" applyNumberFormat="1" applyFont="1" applyFill="1" applyBorder="1"/>
    <xf numFmtId="0" fontId="5" fillId="0" borderId="3" xfId="0" applyFont="1" applyBorder="1"/>
    <xf numFmtId="165" fontId="5" fillId="0" borderId="3" xfId="1" applyNumberFormat="1" applyFont="1" applyBorder="1"/>
    <xf numFmtId="14" fontId="0" fillId="0" borderId="3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4" fontId="0" fillId="5" borderId="8" xfId="0" applyNumberFormat="1" applyFill="1" applyBorder="1" applyAlignment="1">
      <alignment horizontal="center"/>
    </xf>
    <xf numFmtId="14" fontId="0" fillId="5" borderId="8" xfId="1" applyNumberFormat="1" applyFont="1" applyFill="1" applyBorder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5" borderId="8" xfId="0" applyFill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0" fillId="5" borderId="8" xfId="2" applyNumberFormat="1" applyFont="1" applyFill="1" applyBorder="1" applyAlignment="1">
      <alignment horizontal="center"/>
    </xf>
    <xf numFmtId="14" fontId="3" fillId="6" borderId="3" xfId="0" applyNumberFormat="1" applyFont="1" applyFill="1" applyBorder="1"/>
    <xf numFmtId="14" fontId="0" fillId="0" borderId="3" xfId="0" applyNumberFormat="1" applyBorder="1"/>
    <xf numFmtId="14" fontId="3" fillId="2" borderId="3" xfId="0" applyNumberFormat="1" applyFont="1" applyFill="1" applyBorder="1"/>
    <xf numFmtId="14" fontId="3" fillId="0" borderId="3" xfId="0" applyNumberFormat="1" applyFont="1" applyBorder="1"/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ANDT%20MICROFINANCE%20LTD\Cashbook.xlsx" TargetMode="External"/><Relationship Id="rId1" Type="http://schemas.openxmlformats.org/officeDocument/2006/relationships/externalLinkPath" Target="file:///D:\MANDT%20MICROFINANCE%20LTD\Cash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ashbook  2025"/>
      <sheetName val="Cashbook"/>
      <sheetName val="CASHBOOK JULY 2025-JUNE 2026"/>
      <sheetName val="Sheet2"/>
      <sheetName val="Amended Cashbook"/>
      <sheetName val="Budget"/>
      <sheetName val="Loan Processing"/>
      <sheetName val="Security"/>
    </sheetNames>
    <sheetDataSet>
      <sheetData sheetId="0"/>
      <sheetData sheetId="1"/>
      <sheetData sheetId="2">
        <row r="615">
          <cell r="F615">
            <v>3600</v>
          </cell>
        </row>
      </sheetData>
      <sheetData sheetId="3">
        <row r="332">
          <cell r="G332">
            <v>46015.5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3@15000" TargetMode="External"/><Relationship Id="rId2" Type="http://schemas.openxmlformats.org/officeDocument/2006/relationships/hyperlink" Target="mailto:2@%2035000" TargetMode="External"/><Relationship Id="rId1" Type="http://schemas.openxmlformats.org/officeDocument/2006/relationships/hyperlink" Target="mailto:4@30000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DC802-6C33-45DB-802F-2BFB5A0E8300}">
  <dimension ref="A1:F603"/>
  <sheetViews>
    <sheetView tabSelected="1" topLeftCell="A82" workbookViewId="0">
      <selection activeCell="B13" sqref="B13"/>
    </sheetView>
  </sheetViews>
  <sheetFormatPr defaultRowHeight="14.5" x14ac:dyDescent="0.35"/>
  <cols>
    <col min="1" max="1" width="18.54296875" customWidth="1"/>
    <col min="2" max="2" width="90" customWidth="1"/>
    <col min="3" max="3" width="13.453125" customWidth="1"/>
    <col min="4" max="4" width="15.81640625" style="22" customWidth="1"/>
    <col min="5" max="5" width="20.81640625" style="22" customWidth="1"/>
    <col min="6" max="6" width="20.1796875" style="22" customWidth="1"/>
  </cols>
  <sheetData>
    <row r="1" spans="1:6" ht="18.5" x14ac:dyDescent="0.45">
      <c r="A1" s="20"/>
      <c r="B1" s="20" t="s">
        <v>91</v>
      </c>
      <c r="C1" s="20"/>
      <c r="D1" s="21"/>
      <c r="E1" s="21"/>
      <c r="F1" s="21"/>
    </row>
    <row r="2" spans="1:6" ht="15" thickBot="1" x14ac:dyDescent="0.4"/>
    <row r="3" spans="1:6" x14ac:dyDescent="0.35">
      <c r="A3" s="1" t="s">
        <v>522</v>
      </c>
      <c r="B3" s="2" t="s">
        <v>1</v>
      </c>
      <c r="C3" s="3"/>
      <c r="D3" s="3"/>
      <c r="E3" s="3" t="s">
        <v>2</v>
      </c>
      <c r="F3" s="3" t="s">
        <v>3</v>
      </c>
    </row>
    <row r="4" spans="1:6" x14ac:dyDescent="0.35">
      <c r="A4" s="10"/>
      <c r="B4" s="10" t="s">
        <v>92</v>
      </c>
      <c r="C4" s="10"/>
      <c r="D4" s="11"/>
      <c r="E4" s="11"/>
      <c r="F4" s="11">
        <f>[1]Cashbook!F615</f>
        <v>3600</v>
      </c>
    </row>
    <row r="5" spans="1:6" x14ac:dyDescent="0.35">
      <c r="A5" s="50">
        <v>45658</v>
      </c>
      <c r="B5" s="10" t="s">
        <v>93</v>
      </c>
      <c r="C5" s="23"/>
      <c r="D5" s="23"/>
      <c r="E5" s="11">
        <v>200000</v>
      </c>
      <c r="F5" s="24">
        <f t="shared" ref="F5:F68" si="0">(F4+D5-E5)</f>
        <v>-196400</v>
      </c>
    </row>
    <row r="6" spans="1:6" x14ac:dyDescent="0.35">
      <c r="A6" s="51"/>
      <c r="B6" s="14" t="s">
        <v>94</v>
      </c>
      <c r="C6" s="25"/>
      <c r="D6" s="25"/>
      <c r="E6" s="26">
        <v>600</v>
      </c>
      <c r="F6" s="27">
        <f t="shared" si="0"/>
        <v>-197000</v>
      </c>
    </row>
    <row r="7" spans="1:6" x14ac:dyDescent="0.35">
      <c r="A7" s="52">
        <v>45870</v>
      </c>
      <c r="B7" s="28" t="s">
        <v>95</v>
      </c>
      <c r="C7" s="29"/>
      <c r="D7" s="29">
        <v>4883300</v>
      </c>
      <c r="E7" s="30"/>
      <c r="F7" s="31">
        <f t="shared" si="0"/>
        <v>4686300</v>
      </c>
    </row>
    <row r="8" spans="1:6" x14ac:dyDescent="0.35">
      <c r="A8" s="51"/>
      <c r="B8" s="14" t="s">
        <v>96</v>
      </c>
      <c r="C8" s="25"/>
      <c r="D8" s="25"/>
      <c r="E8" s="26">
        <v>200000</v>
      </c>
      <c r="F8" s="27">
        <f t="shared" si="0"/>
        <v>4486300</v>
      </c>
    </row>
    <row r="9" spans="1:6" x14ac:dyDescent="0.35">
      <c r="A9" s="51"/>
      <c r="B9" s="14" t="s">
        <v>97</v>
      </c>
      <c r="C9" s="25"/>
      <c r="D9" s="25"/>
      <c r="E9" s="26">
        <v>87000</v>
      </c>
      <c r="F9" s="27">
        <f t="shared" si="0"/>
        <v>4399300</v>
      </c>
    </row>
    <row r="10" spans="1:6" x14ac:dyDescent="0.35">
      <c r="A10" s="51"/>
      <c r="B10" s="14" t="s">
        <v>98</v>
      </c>
      <c r="C10" s="25"/>
      <c r="D10" s="25"/>
      <c r="E10" s="26">
        <v>30000</v>
      </c>
      <c r="F10" s="27">
        <f t="shared" si="0"/>
        <v>4369300</v>
      </c>
    </row>
    <row r="11" spans="1:6" x14ac:dyDescent="0.35">
      <c r="A11" s="51"/>
      <c r="B11" s="14" t="s">
        <v>99</v>
      </c>
      <c r="C11" s="25"/>
      <c r="D11" s="25"/>
      <c r="E11" s="26">
        <v>525000</v>
      </c>
      <c r="F11" s="27">
        <f t="shared" si="0"/>
        <v>3844300</v>
      </c>
    </row>
    <row r="12" spans="1:6" x14ac:dyDescent="0.35">
      <c r="A12" s="51"/>
      <c r="B12" s="14" t="s">
        <v>100</v>
      </c>
      <c r="C12" s="25"/>
      <c r="D12" s="25"/>
      <c r="E12" s="26">
        <v>756000</v>
      </c>
      <c r="F12" s="27">
        <f t="shared" si="0"/>
        <v>3088300</v>
      </c>
    </row>
    <row r="13" spans="1:6" x14ac:dyDescent="0.35">
      <c r="A13" s="51"/>
      <c r="B13" s="14" t="s">
        <v>101</v>
      </c>
      <c r="C13" s="25"/>
      <c r="D13" s="25"/>
      <c r="E13" s="26">
        <v>2500000</v>
      </c>
      <c r="F13" s="27">
        <f t="shared" si="0"/>
        <v>588300</v>
      </c>
    </row>
    <row r="14" spans="1:6" x14ac:dyDescent="0.35">
      <c r="A14" s="51"/>
      <c r="B14" s="14" t="s">
        <v>102</v>
      </c>
      <c r="C14" s="25"/>
      <c r="D14" s="25"/>
      <c r="E14" s="26">
        <v>700000</v>
      </c>
      <c r="F14" s="27">
        <f t="shared" si="0"/>
        <v>-111700</v>
      </c>
    </row>
    <row r="15" spans="1:6" x14ac:dyDescent="0.35">
      <c r="A15" s="51"/>
      <c r="B15" s="14" t="s">
        <v>44</v>
      </c>
      <c r="C15" s="25"/>
      <c r="D15" s="25"/>
      <c r="E15" s="26">
        <v>2300</v>
      </c>
      <c r="F15" s="27">
        <f t="shared" si="0"/>
        <v>-114000</v>
      </c>
    </row>
    <row r="16" spans="1:6" x14ac:dyDescent="0.35">
      <c r="A16" s="51"/>
      <c r="B16" s="14" t="s">
        <v>103</v>
      </c>
      <c r="C16" s="25"/>
      <c r="D16" s="25"/>
      <c r="E16" s="26">
        <v>80000</v>
      </c>
      <c r="F16" s="27">
        <f t="shared" si="0"/>
        <v>-194000</v>
      </c>
    </row>
    <row r="17" spans="1:6" x14ac:dyDescent="0.35">
      <c r="A17" s="51"/>
      <c r="B17" s="14" t="s">
        <v>104</v>
      </c>
      <c r="C17" s="25"/>
      <c r="D17" s="25"/>
      <c r="E17" s="26">
        <v>5100</v>
      </c>
      <c r="F17" s="27">
        <f t="shared" si="0"/>
        <v>-199100</v>
      </c>
    </row>
    <row r="18" spans="1:6" x14ac:dyDescent="0.35">
      <c r="A18" s="51" t="s">
        <v>523</v>
      </c>
      <c r="B18" s="14" t="s">
        <v>105</v>
      </c>
      <c r="C18" s="25"/>
      <c r="D18" s="25"/>
      <c r="E18" s="26">
        <v>20000</v>
      </c>
      <c r="F18" s="27">
        <f t="shared" si="0"/>
        <v>-219100</v>
      </c>
    </row>
    <row r="19" spans="1:6" x14ac:dyDescent="0.35">
      <c r="A19" s="51"/>
      <c r="B19" s="14" t="s">
        <v>106</v>
      </c>
      <c r="C19" s="25"/>
      <c r="D19" s="25"/>
      <c r="E19" s="26">
        <v>300</v>
      </c>
      <c r="F19" s="27">
        <f t="shared" si="0"/>
        <v>-219400</v>
      </c>
    </row>
    <row r="20" spans="1:6" x14ac:dyDescent="0.35">
      <c r="A20" s="51" t="s">
        <v>524</v>
      </c>
      <c r="B20" s="14" t="s">
        <v>107</v>
      </c>
      <c r="C20" s="25"/>
      <c r="D20" s="25">
        <v>17000000</v>
      </c>
      <c r="E20" s="26"/>
      <c r="F20" s="27">
        <f t="shared" si="0"/>
        <v>16780600</v>
      </c>
    </row>
    <row r="21" spans="1:6" x14ac:dyDescent="0.35">
      <c r="A21" s="51"/>
      <c r="B21" s="14" t="s">
        <v>108</v>
      </c>
      <c r="C21" s="25"/>
      <c r="D21" s="25"/>
      <c r="E21" s="26">
        <v>14200000</v>
      </c>
      <c r="F21" s="27">
        <f t="shared" si="0"/>
        <v>2580600</v>
      </c>
    </row>
    <row r="22" spans="1:6" x14ac:dyDescent="0.35">
      <c r="A22" s="51"/>
      <c r="B22" s="14" t="s">
        <v>109</v>
      </c>
      <c r="C22" s="25"/>
      <c r="D22" s="25"/>
      <c r="E22" s="26">
        <v>150000</v>
      </c>
      <c r="F22" s="27">
        <f t="shared" si="0"/>
        <v>2430600</v>
      </c>
    </row>
    <row r="23" spans="1:6" x14ac:dyDescent="0.35">
      <c r="A23" s="51"/>
      <c r="B23" s="14" t="s">
        <v>110</v>
      </c>
      <c r="C23" s="25"/>
      <c r="D23" s="25"/>
      <c r="E23" s="26">
        <v>55000</v>
      </c>
      <c r="F23" s="27">
        <f t="shared" si="0"/>
        <v>2375600</v>
      </c>
    </row>
    <row r="24" spans="1:6" x14ac:dyDescent="0.35">
      <c r="A24" s="51"/>
      <c r="B24" s="14" t="s">
        <v>111</v>
      </c>
      <c r="C24" s="25"/>
      <c r="D24" s="25"/>
      <c r="E24" s="26">
        <v>505000</v>
      </c>
      <c r="F24" s="27">
        <f t="shared" si="0"/>
        <v>1870600</v>
      </c>
    </row>
    <row r="25" spans="1:6" x14ac:dyDescent="0.35">
      <c r="A25" s="51"/>
      <c r="B25" s="14" t="s">
        <v>112</v>
      </c>
      <c r="C25" s="25"/>
      <c r="D25" s="25"/>
      <c r="E25" s="26">
        <v>700000</v>
      </c>
      <c r="F25" s="27">
        <f t="shared" si="0"/>
        <v>1170600</v>
      </c>
    </row>
    <row r="26" spans="1:6" x14ac:dyDescent="0.35">
      <c r="A26" s="51"/>
      <c r="B26" s="14" t="s">
        <v>113</v>
      </c>
      <c r="C26" s="25"/>
      <c r="D26" s="25"/>
      <c r="E26" s="26">
        <v>800000</v>
      </c>
      <c r="F26" s="27">
        <f t="shared" si="0"/>
        <v>370600</v>
      </c>
    </row>
    <row r="27" spans="1:6" x14ac:dyDescent="0.35">
      <c r="A27" s="51"/>
      <c r="B27" s="14" t="s">
        <v>114</v>
      </c>
      <c r="C27" s="25"/>
      <c r="D27" s="25"/>
      <c r="E27" s="26">
        <v>17000</v>
      </c>
      <c r="F27" s="27">
        <f t="shared" si="0"/>
        <v>353600</v>
      </c>
    </row>
    <row r="28" spans="1:6" x14ac:dyDescent="0.35">
      <c r="A28" s="51"/>
      <c r="B28" s="14" t="s">
        <v>115</v>
      </c>
      <c r="C28" s="25"/>
      <c r="D28" s="25">
        <v>16140</v>
      </c>
      <c r="E28" s="26"/>
      <c r="F28" s="27">
        <f t="shared" si="0"/>
        <v>369740</v>
      </c>
    </row>
    <row r="29" spans="1:6" x14ac:dyDescent="0.35">
      <c r="A29" s="51" t="s">
        <v>525</v>
      </c>
      <c r="B29" s="14" t="s">
        <v>105</v>
      </c>
      <c r="C29" s="25"/>
      <c r="D29" s="25"/>
      <c r="E29" s="26">
        <v>20000</v>
      </c>
      <c r="F29" s="27">
        <f t="shared" si="0"/>
        <v>349740</v>
      </c>
    </row>
    <row r="30" spans="1:6" x14ac:dyDescent="0.35">
      <c r="A30" s="51"/>
      <c r="B30" s="14" t="s">
        <v>116</v>
      </c>
      <c r="C30" s="25"/>
      <c r="D30" s="25"/>
      <c r="E30" s="26">
        <v>300</v>
      </c>
      <c r="F30" s="27">
        <f t="shared" si="0"/>
        <v>349440</v>
      </c>
    </row>
    <row r="31" spans="1:6" x14ac:dyDescent="0.35">
      <c r="A31" s="51" t="s">
        <v>526</v>
      </c>
      <c r="B31" s="14" t="s">
        <v>117</v>
      </c>
      <c r="C31" s="25"/>
      <c r="D31" s="25"/>
      <c r="E31" s="26">
        <v>200000</v>
      </c>
      <c r="F31" s="27">
        <f t="shared" si="0"/>
        <v>149440</v>
      </c>
    </row>
    <row r="32" spans="1:6" x14ac:dyDescent="0.35">
      <c r="A32" s="51"/>
      <c r="B32" s="14" t="s">
        <v>45</v>
      </c>
      <c r="C32" s="25"/>
      <c r="D32" s="25"/>
      <c r="E32" s="26">
        <v>5000</v>
      </c>
      <c r="F32" s="27">
        <f t="shared" si="0"/>
        <v>144440</v>
      </c>
    </row>
    <row r="33" spans="1:6" x14ac:dyDescent="0.35">
      <c r="A33" s="51"/>
      <c r="B33" s="14" t="s">
        <v>44</v>
      </c>
      <c r="C33" s="25"/>
      <c r="D33" s="25"/>
      <c r="E33" s="26">
        <v>2300</v>
      </c>
      <c r="F33" s="27">
        <f t="shared" si="0"/>
        <v>142140</v>
      </c>
    </row>
    <row r="34" spans="1:6" x14ac:dyDescent="0.35">
      <c r="A34" s="51"/>
      <c r="B34" s="14" t="s">
        <v>116</v>
      </c>
      <c r="C34" s="25"/>
      <c r="D34" s="25"/>
      <c r="E34" s="26">
        <v>600</v>
      </c>
      <c r="F34" s="27">
        <f t="shared" si="0"/>
        <v>141540</v>
      </c>
    </row>
    <row r="35" spans="1:6" x14ac:dyDescent="0.35">
      <c r="A35" s="51"/>
      <c r="B35" s="14" t="s">
        <v>118</v>
      </c>
      <c r="C35" s="25"/>
      <c r="D35" s="25">
        <v>11100000</v>
      </c>
      <c r="E35" s="26"/>
      <c r="F35" s="27">
        <f t="shared" si="0"/>
        <v>11241540</v>
      </c>
    </row>
    <row r="36" spans="1:6" x14ac:dyDescent="0.35">
      <c r="A36" s="51" t="s">
        <v>527</v>
      </c>
      <c r="B36" s="14" t="s">
        <v>119</v>
      </c>
      <c r="C36" s="25"/>
      <c r="D36" s="25"/>
      <c r="E36" s="26">
        <v>11100000</v>
      </c>
      <c r="F36" s="27">
        <f t="shared" si="0"/>
        <v>141540</v>
      </c>
    </row>
    <row r="37" spans="1:6" x14ac:dyDescent="0.35">
      <c r="A37" s="51"/>
      <c r="B37" s="14" t="s">
        <v>120</v>
      </c>
      <c r="C37" s="25"/>
      <c r="D37" s="25"/>
      <c r="E37" s="26">
        <v>55000</v>
      </c>
      <c r="F37" s="27">
        <f t="shared" si="0"/>
        <v>86540</v>
      </c>
    </row>
    <row r="38" spans="1:6" x14ac:dyDescent="0.35">
      <c r="A38" s="51" t="s">
        <v>253</v>
      </c>
      <c r="B38" s="14" t="s">
        <v>121</v>
      </c>
      <c r="C38" s="25"/>
      <c r="D38" s="25"/>
      <c r="E38" s="26">
        <v>14300</v>
      </c>
      <c r="F38" s="27">
        <f t="shared" si="0"/>
        <v>72240</v>
      </c>
    </row>
    <row r="39" spans="1:6" x14ac:dyDescent="0.35">
      <c r="A39" s="53">
        <v>45659</v>
      </c>
      <c r="B39" s="28" t="s">
        <v>122</v>
      </c>
      <c r="C39" s="29"/>
      <c r="D39" s="29">
        <v>9000000</v>
      </c>
      <c r="E39" s="30"/>
      <c r="F39" s="31">
        <f t="shared" si="0"/>
        <v>9072240</v>
      </c>
    </row>
    <row r="40" spans="1:6" x14ac:dyDescent="0.35">
      <c r="A40" s="54"/>
      <c r="B40" s="14" t="s">
        <v>123</v>
      </c>
      <c r="C40" s="25"/>
      <c r="D40" s="25">
        <v>3000000</v>
      </c>
      <c r="E40" s="26"/>
      <c r="F40" s="27">
        <f t="shared" si="0"/>
        <v>12072240</v>
      </c>
    </row>
    <row r="41" spans="1:6" x14ac:dyDescent="0.35">
      <c r="A41" s="54"/>
      <c r="B41" s="14" t="s">
        <v>124</v>
      </c>
      <c r="C41" s="25"/>
      <c r="D41" s="25">
        <v>600000</v>
      </c>
      <c r="E41" s="26"/>
      <c r="F41" s="27">
        <f t="shared" si="0"/>
        <v>12672240</v>
      </c>
    </row>
    <row r="42" spans="1:6" x14ac:dyDescent="0.35">
      <c r="A42" s="55"/>
      <c r="B42" s="14" t="s">
        <v>125</v>
      </c>
      <c r="C42" s="25"/>
      <c r="D42" s="25"/>
      <c r="E42" s="26">
        <v>12900000</v>
      </c>
      <c r="F42" s="27">
        <f t="shared" si="0"/>
        <v>-227760</v>
      </c>
    </row>
    <row r="43" spans="1:6" x14ac:dyDescent="0.35">
      <c r="A43" s="51"/>
      <c r="B43" s="14" t="s">
        <v>126</v>
      </c>
      <c r="C43" s="25"/>
      <c r="D43" s="25"/>
      <c r="E43" s="26">
        <v>12200</v>
      </c>
      <c r="F43" s="27">
        <f t="shared" si="0"/>
        <v>-239960</v>
      </c>
    </row>
    <row r="44" spans="1:6" x14ac:dyDescent="0.35">
      <c r="A44" s="52">
        <v>45749</v>
      </c>
      <c r="B44" s="28" t="s">
        <v>127</v>
      </c>
      <c r="C44" s="29"/>
      <c r="D44" s="29">
        <v>3000000</v>
      </c>
      <c r="E44" s="30"/>
      <c r="F44" s="31">
        <f t="shared" si="0"/>
        <v>2760040</v>
      </c>
    </row>
    <row r="45" spans="1:6" x14ac:dyDescent="0.35">
      <c r="A45" s="51"/>
      <c r="B45" s="14" t="s">
        <v>128</v>
      </c>
      <c r="C45" s="25"/>
      <c r="D45" s="25"/>
      <c r="E45" s="26">
        <v>2000000</v>
      </c>
      <c r="F45" s="27">
        <f t="shared" si="0"/>
        <v>760040</v>
      </c>
    </row>
    <row r="46" spans="1:6" x14ac:dyDescent="0.35">
      <c r="A46" s="51"/>
      <c r="B46" s="14" t="s">
        <v>129</v>
      </c>
      <c r="C46" s="25"/>
      <c r="D46" s="25"/>
      <c r="E46" s="26">
        <v>32000</v>
      </c>
      <c r="F46" s="27">
        <f t="shared" si="0"/>
        <v>728040</v>
      </c>
    </row>
    <row r="47" spans="1:6" x14ac:dyDescent="0.35">
      <c r="A47" s="51"/>
      <c r="B47" s="14" t="s">
        <v>126</v>
      </c>
      <c r="C47" s="25"/>
      <c r="D47" s="25"/>
      <c r="E47" s="26">
        <v>999</v>
      </c>
      <c r="F47" s="27">
        <f t="shared" si="0"/>
        <v>727041</v>
      </c>
    </row>
    <row r="48" spans="1:6" x14ac:dyDescent="0.35">
      <c r="A48" s="52">
        <v>45810</v>
      </c>
      <c r="B48" s="28" t="s">
        <v>130</v>
      </c>
      <c r="C48" s="29"/>
      <c r="D48" s="29">
        <v>1308000</v>
      </c>
      <c r="E48" s="30"/>
      <c r="F48" s="31">
        <f t="shared" si="0"/>
        <v>2035041</v>
      </c>
    </row>
    <row r="49" spans="1:6" x14ac:dyDescent="0.35">
      <c r="A49" s="51"/>
      <c r="B49" s="14" t="s">
        <v>131</v>
      </c>
      <c r="C49" s="25"/>
      <c r="D49" s="25"/>
      <c r="E49" s="26">
        <v>1073000</v>
      </c>
      <c r="F49" s="27">
        <f t="shared" si="0"/>
        <v>962041</v>
      </c>
    </row>
    <row r="50" spans="1:6" x14ac:dyDescent="0.35">
      <c r="A50" s="51"/>
      <c r="B50" s="14" t="s">
        <v>132</v>
      </c>
      <c r="C50" s="25"/>
      <c r="D50" s="25"/>
      <c r="E50" s="26">
        <v>200000</v>
      </c>
      <c r="F50" s="27">
        <f t="shared" si="0"/>
        <v>762041</v>
      </c>
    </row>
    <row r="51" spans="1:6" x14ac:dyDescent="0.35">
      <c r="A51" s="51"/>
      <c r="B51" s="14" t="s">
        <v>133</v>
      </c>
      <c r="C51" s="25"/>
      <c r="D51" s="25"/>
      <c r="E51" s="26">
        <v>35000</v>
      </c>
      <c r="F51" s="27">
        <f t="shared" si="0"/>
        <v>727041</v>
      </c>
    </row>
    <row r="52" spans="1:6" x14ac:dyDescent="0.35">
      <c r="A52" s="52">
        <v>45871</v>
      </c>
      <c r="B52" s="28" t="s">
        <v>134</v>
      </c>
      <c r="C52" s="29"/>
      <c r="D52" s="29">
        <v>6400000</v>
      </c>
      <c r="E52" s="30"/>
      <c r="F52" s="31">
        <f t="shared" si="0"/>
        <v>7127041</v>
      </c>
    </row>
    <row r="53" spans="1:6" x14ac:dyDescent="0.35">
      <c r="A53" s="51"/>
      <c r="B53" s="14" t="s">
        <v>135</v>
      </c>
      <c r="C53" s="25"/>
      <c r="D53" s="25"/>
      <c r="E53" s="26">
        <v>30000</v>
      </c>
      <c r="F53" s="27">
        <f t="shared" si="0"/>
        <v>7097041</v>
      </c>
    </row>
    <row r="54" spans="1:6" x14ac:dyDescent="0.35">
      <c r="A54" s="51"/>
      <c r="B54" s="14" t="s">
        <v>136</v>
      </c>
      <c r="C54" s="25"/>
      <c r="D54" s="25"/>
      <c r="E54" s="26">
        <v>59000</v>
      </c>
      <c r="F54" s="27">
        <f t="shared" si="0"/>
        <v>7038041</v>
      </c>
    </row>
    <row r="55" spans="1:6" x14ac:dyDescent="0.35">
      <c r="A55" s="51"/>
      <c r="B55" s="14" t="s">
        <v>137</v>
      </c>
      <c r="C55" s="25"/>
      <c r="D55" s="25"/>
      <c r="E55" s="26">
        <v>30000</v>
      </c>
      <c r="F55" s="27">
        <f t="shared" si="0"/>
        <v>7008041</v>
      </c>
    </row>
    <row r="56" spans="1:6" x14ac:dyDescent="0.35">
      <c r="A56" s="51"/>
      <c r="B56" s="14" t="s">
        <v>138</v>
      </c>
      <c r="C56" s="25"/>
      <c r="D56" s="25"/>
      <c r="E56" s="26">
        <v>50000</v>
      </c>
      <c r="F56" s="27">
        <f t="shared" si="0"/>
        <v>6958041</v>
      </c>
    </row>
    <row r="57" spans="1:6" x14ac:dyDescent="0.35">
      <c r="A57" s="51"/>
      <c r="B57" s="14" t="s">
        <v>139</v>
      </c>
      <c r="C57" s="25"/>
      <c r="D57" s="25"/>
      <c r="E57" s="26">
        <v>20000</v>
      </c>
      <c r="F57" s="27">
        <f t="shared" si="0"/>
        <v>6938041</v>
      </c>
    </row>
    <row r="58" spans="1:6" x14ac:dyDescent="0.35">
      <c r="A58" s="51"/>
      <c r="B58" s="14" t="s">
        <v>140</v>
      </c>
      <c r="C58" s="25"/>
      <c r="D58" s="25"/>
      <c r="E58" s="26">
        <v>180000</v>
      </c>
      <c r="F58" s="27">
        <f t="shared" si="0"/>
        <v>6758041</v>
      </c>
    </row>
    <row r="59" spans="1:6" x14ac:dyDescent="0.35">
      <c r="A59" s="51"/>
      <c r="B59" s="14" t="s">
        <v>141</v>
      </c>
      <c r="C59" s="25"/>
      <c r="D59" s="25"/>
      <c r="E59" s="26">
        <v>80000</v>
      </c>
      <c r="F59" s="27">
        <f t="shared" si="0"/>
        <v>6678041</v>
      </c>
    </row>
    <row r="60" spans="1:6" x14ac:dyDescent="0.35">
      <c r="A60" s="51"/>
      <c r="B60" s="14" t="s">
        <v>142</v>
      </c>
      <c r="C60" s="25"/>
      <c r="D60" s="25"/>
      <c r="E60" s="26">
        <v>3000000</v>
      </c>
      <c r="F60" s="27">
        <f t="shared" si="0"/>
        <v>3678041</v>
      </c>
    </row>
    <row r="61" spans="1:6" x14ac:dyDescent="0.35">
      <c r="A61" s="51"/>
      <c r="B61" s="14" t="s">
        <v>143</v>
      </c>
      <c r="C61" s="25"/>
      <c r="D61" s="25"/>
      <c r="E61" s="26">
        <v>700000</v>
      </c>
      <c r="F61" s="27">
        <f t="shared" si="0"/>
        <v>2978041</v>
      </c>
    </row>
    <row r="62" spans="1:6" x14ac:dyDescent="0.35">
      <c r="A62" s="51"/>
      <c r="B62" s="14" t="s">
        <v>144</v>
      </c>
      <c r="C62" s="25"/>
      <c r="D62" s="25"/>
      <c r="E62" s="26">
        <v>248000</v>
      </c>
      <c r="F62" s="27">
        <f t="shared" si="0"/>
        <v>2730041</v>
      </c>
    </row>
    <row r="63" spans="1:6" x14ac:dyDescent="0.35">
      <c r="A63" s="51"/>
      <c r="B63" s="14" t="s">
        <v>145</v>
      </c>
      <c r="C63" s="25"/>
      <c r="D63" s="25"/>
      <c r="E63" s="26">
        <v>200000</v>
      </c>
      <c r="F63" s="27">
        <f t="shared" si="0"/>
        <v>2530041</v>
      </c>
    </row>
    <row r="64" spans="1:6" x14ac:dyDescent="0.35">
      <c r="A64" s="51"/>
      <c r="B64" s="14" t="s">
        <v>146</v>
      </c>
      <c r="C64" s="25"/>
      <c r="D64" s="25"/>
      <c r="E64" s="26">
        <v>200000</v>
      </c>
      <c r="F64" s="27">
        <f t="shared" si="0"/>
        <v>2330041</v>
      </c>
    </row>
    <row r="65" spans="1:6" x14ac:dyDescent="0.35">
      <c r="A65" s="51"/>
      <c r="B65" s="14" t="s">
        <v>147</v>
      </c>
      <c r="C65" s="25"/>
      <c r="D65" s="25"/>
      <c r="E65" s="26">
        <v>200000</v>
      </c>
      <c r="F65" s="27">
        <f t="shared" si="0"/>
        <v>2130041</v>
      </c>
    </row>
    <row r="66" spans="1:6" x14ac:dyDescent="0.35">
      <c r="A66" s="51"/>
      <c r="B66" s="14" t="s">
        <v>148</v>
      </c>
      <c r="C66" s="25"/>
      <c r="D66" s="25"/>
      <c r="E66" s="26">
        <v>1000000</v>
      </c>
      <c r="F66" s="27">
        <f t="shared" si="0"/>
        <v>1130041</v>
      </c>
    </row>
    <row r="67" spans="1:6" x14ac:dyDescent="0.35">
      <c r="A67" s="51"/>
      <c r="B67" s="14" t="s">
        <v>149</v>
      </c>
      <c r="C67" s="25"/>
      <c r="D67" s="25"/>
      <c r="E67" s="26">
        <v>35000</v>
      </c>
      <c r="F67" s="27">
        <f t="shared" si="0"/>
        <v>1095041</v>
      </c>
    </row>
    <row r="68" spans="1:6" x14ac:dyDescent="0.35">
      <c r="A68" s="51"/>
      <c r="B68" s="14" t="s">
        <v>150</v>
      </c>
      <c r="C68" s="25"/>
      <c r="D68" s="25"/>
      <c r="E68" s="26">
        <v>35000</v>
      </c>
      <c r="F68" s="27">
        <f t="shared" si="0"/>
        <v>1060041</v>
      </c>
    </row>
    <row r="69" spans="1:6" x14ac:dyDescent="0.35">
      <c r="A69" s="51"/>
      <c r="B69" s="14" t="s">
        <v>151</v>
      </c>
      <c r="C69" s="25"/>
      <c r="D69" s="25"/>
      <c r="E69" s="26">
        <v>756000</v>
      </c>
      <c r="F69" s="27">
        <f t="shared" ref="F69:F128" si="1">(F68+D69-E69)</f>
        <v>304041</v>
      </c>
    </row>
    <row r="70" spans="1:6" x14ac:dyDescent="0.35">
      <c r="A70" s="51"/>
      <c r="B70" s="14" t="s">
        <v>152</v>
      </c>
      <c r="C70" s="25"/>
      <c r="D70" s="25"/>
      <c r="E70" s="26">
        <v>525000</v>
      </c>
      <c r="F70" s="27">
        <f t="shared" si="1"/>
        <v>-220959</v>
      </c>
    </row>
    <row r="71" spans="1:6" x14ac:dyDescent="0.35">
      <c r="A71" s="51"/>
      <c r="B71" s="14" t="s">
        <v>153</v>
      </c>
      <c r="C71" s="25"/>
      <c r="D71" s="25"/>
      <c r="E71" s="26">
        <v>20000</v>
      </c>
      <c r="F71" s="27">
        <f t="shared" si="1"/>
        <v>-240959</v>
      </c>
    </row>
    <row r="72" spans="1:6" x14ac:dyDescent="0.35">
      <c r="A72" s="51"/>
      <c r="B72" s="14" t="s">
        <v>44</v>
      </c>
      <c r="C72" s="25"/>
      <c r="D72" s="25"/>
      <c r="E72" s="26">
        <v>2300</v>
      </c>
      <c r="F72" s="27">
        <f t="shared" si="1"/>
        <v>-243259</v>
      </c>
    </row>
    <row r="73" spans="1:6" x14ac:dyDescent="0.35">
      <c r="A73" s="51"/>
      <c r="B73" s="14" t="s">
        <v>126</v>
      </c>
      <c r="C73" s="25"/>
      <c r="D73" s="25"/>
      <c r="E73" s="26">
        <v>9100</v>
      </c>
      <c r="F73" s="27">
        <f t="shared" si="1"/>
        <v>-252359</v>
      </c>
    </row>
    <row r="74" spans="1:6" x14ac:dyDescent="0.35">
      <c r="A74" s="56" t="s">
        <v>528</v>
      </c>
      <c r="B74" s="28" t="s">
        <v>154</v>
      </c>
      <c r="C74" s="29"/>
      <c r="D74" s="29">
        <v>500000</v>
      </c>
      <c r="E74" s="30"/>
      <c r="F74" s="31">
        <f t="shared" si="1"/>
        <v>247641</v>
      </c>
    </row>
    <row r="75" spans="1:6" x14ac:dyDescent="0.35">
      <c r="A75" s="51"/>
      <c r="B75" s="14" t="s">
        <v>155</v>
      </c>
      <c r="C75" s="25"/>
      <c r="D75" s="25"/>
      <c r="E75" s="26">
        <v>500000</v>
      </c>
      <c r="F75" s="27">
        <f t="shared" si="1"/>
        <v>-252359</v>
      </c>
    </row>
    <row r="76" spans="1:6" x14ac:dyDescent="0.35">
      <c r="A76" s="51"/>
      <c r="B76" s="14" t="s">
        <v>53</v>
      </c>
      <c r="C76" s="25"/>
      <c r="D76" s="25"/>
      <c r="E76" s="26">
        <v>600</v>
      </c>
      <c r="F76" s="27">
        <f t="shared" si="1"/>
        <v>-252959</v>
      </c>
    </row>
    <row r="77" spans="1:6" x14ac:dyDescent="0.35">
      <c r="A77" s="56" t="s">
        <v>529</v>
      </c>
      <c r="B77" s="28" t="s">
        <v>154</v>
      </c>
      <c r="C77" s="29"/>
      <c r="D77" s="29">
        <v>1300000</v>
      </c>
      <c r="E77" s="30"/>
      <c r="F77" s="31">
        <f t="shared" si="1"/>
        <v>1047041</v>
      </c>
    </row>
    <row r="78" spans="1:6" x14ac:dyDescent="0.35">
      <c r="A78" s="51"/>
      <c r="B78" s="14" t="s">
        <v>156</v>
      </c>
      <c r="C78" s="25"/>
      <c r="D78" s="25">
        <v>8300000</v>
      </c>
      <c r="E78" s="26"/>
      <c r="F78" s="27">
        <f t="shared" si="1"/>
        <v>9347041</v>
      </c>
    </row>
    <row r="79" spans="1:6" x14ac:dyDescent="0.35">
      <c r="A79" s="51"/>
      <c r="B79" s="14" t="s">
        <v>157</v>
      </c>
      <c r="C79" s="25"/>
      <c r="D79" s="25"/>
      <c r="E79" s="26">
        <v>9400000</v>
      </c>
      <c r="F79" s="27">
        <f t="shared" si="1"/>
        <v>-52959</v>
      </c>
    </row>
    <row r="80" spans="1:6" x14ac:dyDescent="0.35">
      <c r="A80" s="51"/>
      <c r="B80" s="14" t="s">
        <v>53</v>
      </c>
      <c r="C80" s="25"/>
      <c r="D80" s="25"/>
      <c r="E80" s="26">
        <v>11401</v>
      </c>
      <c r="F80" s="27">
        <f t="shared" si="1"/>
        <v>-64360</v>
      </c>
    </row>
    <row r="81" spans="1:6" x14ac:dyDescent="0.35">
      <c r="A81" s="56" t="s">
        <v>530</v>
      </c>
      <c r="B81" s="28" t="s">
        <v>158</v>
      </c>
      <c r="C81" s="29"/>
      <c r="D81" s="29">
        <v>2400000</v>
      </c>
      <c r="E81" s="30"/>
      <c r="F81" s="31">
        <f t="shared" si="1"/>
        <v>2335640</v>
      </c>
    </row>
    <row r="82" spans="1:6" x14ac:dyDescent="0.35">
      <c r="A82" s="56"/>
      <c r="B82" s="28" t="s">
        <v>156</v>
      </c>
      <c r="C82" s="29"/>
      <c r="D82" s="29">
        <v>3000000</v>
      </c>
      <c r="E82" s="30"/>
      <c r="F82" s="31">
        <f t="shared" si="1"/>
        <v>5335640</v>
      </c>
    </row>
    <row r="83" spans="1:6" x14ac:dyDescent="0.35">
      <c r="A83" s="51"/>
      <c r="B83" s="14" t="s">
        <v>63</v>
      </c>
      <c r="C83" s="25"/>
      <c r="D83" s="25"/>
      <c r="E83" s="26">
        <v>5300000</v>
      </c>
      <c r="F83" s="27">
        <f t="shared" si="1"/>
        <v>35640</v>
      </c>
    </row>
    <row r="84" spans="1:6" x14ac:dyDescent="0.35">
      <c r="A84" s="51"/>
      <c r="B84" s="14" t="s">
        <v>53</v>
      </c>
      <c r="C84" s="25"/>
      <c r="D84" s="25"/>
      <c r="E84" s="26">
        <v>6200</v>
      </c>
      <c r="F84" s="27">
        <f t="shared" si="1"/>
        <v>29440</v>
      </c>
    </row>
    <row r="85" spans="1:6" x14ac:dyDescent="0.35">
      <c r="A85" s="51"/>
      <c r="B85" s="14" t="s">
        <v>159</v>
      </c>
      <c r="C85" s="25"/>
      <c r="D85" s="25"/>
      <c r="E85" s="26">
        <v>20000</v>
      </c>
      <c r="F85" s="27">
        <f t="shared" si="1"/>
        <v>9440</v>
      </c>
    </row>
    <row r="86" spans="1:6" x14ac:dyDescent="0.35">
      <c r="A86" s="52">
        <v>45660</v>
      </c>
      <c r="B86" s="28" t="s">
        <v>160</v>
      </c>
      <c r="C86" s="29"/>
      <c r="D86" s="29">
        <v>5000000</v>
      </c>
      <c r="E86" s="30"/>
      <c r="F86" s="31">
        <f t="shared" si="1"/>
        <v>5009440</v>
      </c>
    </row>
    <row r="87" spans="1:6" x14ac:dyDescent="0.35">
      <c r="A87" s="51"/>
      <c r="B87" s="14" t="s">
        <v>161</v>
      </c>
      <c r="C87" s="25"/>
      <c r="D87" s="25">
        <v>2000000</v>
      </c>
      <c r="E87" s="26"/>
      <c r="F87" s="27">
        <f t="shared" si="1"/>
        <v>7009440</v>
      </c>
    </row>
    <row r="88" spans="1:6" x14ac:dyDescent="0.35">
      <c r="A88" s="51"/>
      <c r="B88" s="14" t="s">
        <v>162</v>
      </c>
      <c r="C88" s="25"/>
      <c r="D88" s="25"/>
      <c r="E88" s="26">
        <v>7000000</v>
      </c>
      <c r="F88" s="27">
        <f t="shared" si="1"/>
        <v>9440</v>
      </c>
    </row>
    <row r="89" spans="1:6" x14ac:dyDescent="0.35">
      <c r="A89" s="51"/>
      <c r="B89" s="14" t="s">
        <v>163</v>
      </c>
      <c r="C89" s="25"/>
      <c r="D89" s="25"/>
      <c r="E89" s="26">
        <v>9400</v>
      </c>
      <c r="F89" s="27">
        <f t="shared" si="1"/>
        <v>40</v>
      </c>
    </row>
    <row r="90" spans="1:6" x14ac:dyDescent="0.35">
      <c r="A90" s="52">
        <v>45719</v>
      </c>
      <c r="B90" s="28" t="s">
        <v>164</v>
      </c>
      <c r="C90" s="29"/>
      <c r="D90" s="29">
        <v>100000</v>
      </c>
      <c r="E90" s="30"/>
      <c r="F90" s="31">
        <f t="shared" si="1"/>
        <v>100040</v>
      </c>
    </row>
    <row r="91" spans="1:6" x14ac:dyDescent="0.35">
      <c r="A91" s="51"/>
      <c r="B91" s="14" t="s">
        <v>165</v>
      </c>
      <c r="C91" s="25"/>
      <c r="D91" s="25"/>
      <c r="E91" s="26">
        <v>350000</v>
      </c>
      <c r="F91" s="27">
        <f t="shared" si="1"/>
        <v>-249960</v>
      </c>
    </row>
    <row r="92" spans="1:6" x14ac:dyDescent="0.35">
      <c r="A92" s="51"/>
      <c r="B92" s="14" t="s">
        <v>53</v>
      </c>
      <c r="C92" s="25"/>
      <c r="D92" s="25"/>
      <c r="E92" s="26">
        <v>600</v>
      </c>
      <c r="F92" s="27">
        <f t="shared" si="1"/>
        <v>-250560</v>
      </c>
    </row>
    <row r="93" spans="1:6" x14ac:dyDescent="0.35">
      <c r="A93" s="51"/>
      <c r="B93" s="28" t="s">
        <v>156</v>
      </c>
      <c r="C93" s="29"/>
      <c r="D93" s="29">
        <v>7800000</v>
      </c>
      <c r="E93" s="30"/>
      <c r="F93" s="31">
        <f t="shared" si="1"/>
        <v>7549440</v>
      </c>
    </row>
    <row r="94" spans="1:6" x14ac:dyDescent="0.35">
      <c r="A94" s="51"/>
      <c r="B94" s="28" t="s">
        <v>166</v>
      </c>
      <c r="C94" s="29"/>
      <c r="D94" s="29">
        <v>1000000</v>
      </c>
      <c r="E94" s="30"/>
      <c r="F94" s="31">
        <f t="shared" si="1"/>
        <v>8549440</v>
      </c>
    </row>
    <row r="95" spans="1:6" x14ac:dyDescent="0.35">
      <c r="A95" s="51"/>
      <c r="B95" s="28" t="s">
        <v>161</v>
      </c>
      <c r="C95" s="29"/>
      <c r="D95" s="29">
        <v>1350000</v>
      </c>
      <c r="E95" s="30"/>
      <c r="F95" s="31">
        <f t="shared" si="1"/>
        <v>9899440</v>
      </c>
    </row>
    <row r="96" spans="1:6" x14ac:dyDescent="0.35">
      <c r="A96" s="51"/>
      <c r="B96" s="14" t="s">
        <v>167</v>
      </c>
      <c r="C96" s="25"/>
      <c r="D96" s="25"/>
      <c r="E96" s="26">
        <v>9700000</v>
      </c>
      <c r="F96" s="27">
        <f t="shared" si="1"/>
        <v>199440</v>
      </c>
    </row>
    <row r="97" spans="1:6" x14ac:dyDescent="0.35">
      <c r="A97" s="51"/>
      <c r="B97" s="14" t="s">
        <v>163</v>
      </c>
      <c r="C97" s="25"/>
      <c r="D97" s="25"/>
      <c r="E97" s="26">
        <v>13200</v>
      </c>
      <c r="F97" s="27">
        <f t="shared" si="1"/>
        <v>186240</v>
      </c>
    </row>
    <row r="98" spans="1:6" x14ac:dyDescent="0.35">
      <c r="A98" s="52">
        <v>45994</v>
      </c>
      <c r="B98" s="28" t="s">
        <v>168</v>
      </c>
      <c r="C98" s="29"/>
      <c r="D98" s="29">
        <v>500000</v>
      </c>
      <c r="E98" s="30"/>
      <c r="F98" s="31">
        <f t="shared" si="1"/>
        <v>686240</v>
      </c>
    </row>
    <row r="99" spans="1:6" x14ac:dyDescent="0.35">
      <c r="A99" s="51"/>
      <c r="B99" s="14" t="s">
        <v>43</v>
      </c>
      <c r="C99" s="25"/>
      <c r="D99" s="25"/>
      <c r="E99" s="26">
        <v>375000</v>
      </c>
      <c r="F99" s="27">
        <f t="shared" si="1"/>
        <v>311240</v>
      </c>
    </row>
    <row r="100" spans="1:6" x14ac:dyDescent="0.35">
      <c r="A100" s="51"/>
      <c r="B100" s="14" t="s">
        <v>42</v>
      </c>
      <c r="C100" s="25"/>
      <c r="D100" s="25"/>
      <c r="E100" s="26">
        <v>554000</v>
      </c>
      <c r="F100" s="27">
        <f t="shared" si="1"/>
        <v>-242760</v>
      </c>
    </row>
    <row r="101" spans="1:6" x14ac:dyDescent="0.35">
      <c r="A101" s="51"/>
      <c r="B101" s="14" t="s">
        <v>169</v>
      </c>
      <c r="C101" s="25"/>
      <c r="D101" s="25"/>
      <c r="E101" s="26">
        <v>2300</v>
      </c>
      <c r="F101" s="27">
        <f t="shared" si="1"/>
        <v>-245060</v>
      </c>
    </row>
    <row r="102" spans="1:6" x14ac:dyDescent="0.35">
      <c r="A102" s="51"/>
      <c r="B102" s="14" t="s">
        <v>45</v>
      </c>
      <c r="C102" s="25"/>
      <c r="D102" s="25"/>
      <c r="E102" s="26">
        <v>15000</v>
      </c>
      <c r="F102" s="27">
        <f t="shared" si="1"/>
        <v>-260060</v>
      </c>
    </row>
    <row r="103" spans="1:6" x14ac:dyDescent="0.35">
      <c r="A103" s="51"/>
      <c r="B103" s="14" t="s">
        <v>163</v>
      </c>
      <c r="C103" s="25"/>
      <c r="D103" s="25"/>
      <c r="E103" s="26">
        <v>1000</v>
      </c>
      <c r="F103" s="27">
        <f t="shared" si="1"/>
        <v>-261060</v>
      </c>
    </row>
    <row r="104" spans="1:6" x14ac:dyDescent="0.35">
      <c r="A104" s="56" t="s">
        <v>531</v>
      </c>
      <c r="B104" s="28" t="s">
        <v>161</v>
      </c>
      <c r="C104" s="29"/>
      <c r="D104" s="29">
        <v>1190000</v>
      </c>
      <c r="E104" s="30"/>
      <c r="F104" s="31">
        <f t="shared" si="1"/>
        <v>928940</v>
      </c>
    </row>
    <row r="105" spans="1:6" x14ac:dyDescent="0.35">
      <c r="A105" s="51"/>
      <c r="B105" s="14" t="s">
        <v>170</v>
      </c>
      <c r="C105" s="25"/>
      <c r="D105" s="25"/>
      <c r="E105" s="26">
        <v>1150000</v>
      </c>
      <c r="F105" s="27">
        <f t="shared" si="1"/>
        <v>-221060</v>
      </c>
    </row>
    <row r="106" spans="1:6" x14ac:dyDescent="0.35">
      <c r="A106" s="51"/>
      <c r="B106" s="14" t="s">
        <v>171</v>
      </c>
      <c r="C106" s="25"/>
      <c r="D106" s="25"/>
      <c r="E106" s="26">
        <v>20000</v>
      </c>
      <c r="F106" s="27">
        <f t="shared" si="1"/>
        <v>-241060</v>
      </c>
    </row>
    <row r="107" spans="1:6" x14ac:dyDescent="0.35">
      <c r="A107" s="51"/>
      <c r="B107" s="14" t="s">
        <v>172</v>
      </c>
      <c r="C107" s="25"/>
      <c r="D107" s="25"/>
      <c r="E107" s="26">
        <v>21000</v>
      </c>
      <c r="F107" s="27">
        <f t="shared" si="1"/>
        <v>-262060</v>
      </c>
    </row>
    <row r="108" spans="1:6" x14ac:dyDescent="0.35">
      <c r="A108" s="51"/>
      <c r="B108" s="14" t="s">
        <v>163</v>
      </c>
      <c r="C108" s="25"/>
      <c r="D108" s="25"/>
      <c r="E108" s="26">
        <v>2800</v>
      </c>
      <c r="F108" s="27">
        <f t="shared" si="1"/>
        <v>-264860</v>
      </c>
    </row>
    <row r="109" spans="1:6" x14ac:dyDescent="0.35">
      <c r="A109" s="56" t="s">
        <v>532</v>
      </c>
      <c r="B109" s="28" t="s">
        <v>173</v>
      </c>
      <c r="C109" s="29"/>
      <c r="D109" s="29">
        <v>4290000</v>
      </c>
      <c r="E109" s="30"/>
      <c r="F109" s="31">
        <f t="shared" si="1"/>
        <v>4025140</v>
      </c>
    </row>
    <row r="110" spans="1:6" x14ac:dyDescent="0.35">
      <c r="A110" s="51"/>
      <c r="B110" s="14" t="s">
        <v>174</v>
      </c>
      <c r="C110" s="25"/>
      <c r="D110" s="25"/>
      <c r="E110" s="26">
        <v>1073000</v>
      </c>
      <c r="F110" s="27">
        <f t="shared" si="1"/>
        <v>2952140</v>
      </c>
    </row>
    <row r="111" spans="1:6" x14ac:dyDescent="0.35">
      <c r="A111" s="51"/>
      <c r="B111" s="14" t="s">
        <v>175</v>
      </c>
      <c r="C111" s="25"/>
      <c r="D111" s="25"/>
      <c r="E111" s="26">
        <v>700000</v>
      </c>
      <c r="F111" s="27">
        <f t="shared" si="1"/>
        <v>2252140</v>
      </c>
    </row>
    <row r="112" spans="1:6" x14ac:dyDescent="0.35">
      <c r="A112" s="51"/>
      <c r="B112" s="14" t="s">
        <v>176</v>
      </c>
      <c r="C112" s="25"/>
      <c r="D112" s="25"/>
      <c r="E112" s="26">
        <v>248000</v>
      </c>
      <c r="F112" s="27">
        <f t="shared" si="1"/>
        <v>2004140</v>
      </c>
    </row>
    <row r="113" spans="1:6" x14ac:dyDescent="0.35">
      <c r="A113" s="51"/>
      <c r="B113" s="14" t="s">
        <v>177</v>
      </c>
      <c r="C113" s="25"/>
      <c r="D113" s="25"/>
      <c r="E113" s="26">
        <v>1000000</v>
      </c>
      <c r="F113" s="27">
        <f t="shared" si="1"/>
        <v>1004140</v>
      </c>
    </row>
    <row r="114" spans="1:6" x14ac:dyDescent="0.35">
      <c r="A114" s="51"/>
      <c r="B114" s="14" t="s">
        <v>178</v>
      </c>
      <c r="C114" s="25"/>
      <c r="D114" s="25"/>
      <c r="E114" s="26">
        <v>200000</v>
      </c>
      <c r="F114" s="27">
        <f t="shared" si="1"/>
        <v>804140</v>
      </c>
    </row>
    <row r="115" spans="1:6" x14ac:dyDescent="0.35">
      <c r="A115" s="51"/>
      <c r="B115" s="14" t="s">
        <v>179</v>
      </c>
      <c r="C115" s="25"/>
      <c r="D115" s="25"/>
      <c r="E115" s="26">
        <v>200000</v>
      </c>
      <c r="F115" s="27">
        <f t="shared" si="1"/>
        <v>604140</v>
      </c>
    </row>
    <row r="116" spans="1:6" x14ac:dyDescent="0.35">
      <c r="A116" s="51"/>
      <c r="B116" s="14" t="s">
        <v>180</v>
      </c>
      <c r="C116" s="25"/>
      <c r="D116" s="25"/>
      <c r="E116" s="26">
        <v>35000</v>
      </c>
      <c r="F116" s="27">
        <f t="shared" si="1"/>
        <v>569140</v>
      </c>
    </row>
    <row r="117" spans="1:6" x14ac:dyDescent="0.35">
      <c r="A117" s="51"/>
      <c r="B117" s="14" t="s">
        <v>181</v>
      </c>
      <c r="C117" s="25"/>
      <c r="D117" s="25"/>
      <c r="E117" s="26">
        <v>35000</v>
      </c>
      <c r="F117" s="27">
        <f t="shared" si="1"/>
        <v>534140</v>
      </c>
    </row>
    <row r="118" spans="1:6" x14ac:dyDescent="0.35">
      <c r="A118" s="51"/>
      <c r="B118" s="14" t="s">
        <v>182</v>
      </c>
      <c r="C118" s="25"/>
      <c r="D118" s="25"/>
      <c r="E118" s="26">
        <v>700000</v>
      </c>
      <c r="F118" s="27">
        <f t="shared" si="1"/>
        <v>-165860</v>
      </c>
    </row>
    <row r="119" spans="1:6" x14ac:dyDescent="0.35">
      <c r="A119" s="51"/>
      <c r="B119" s="14" t="s">
        <v>183</v>
      </c>
      <c r="C119" s="25"/>
      <c r="D119" s="25"/>
      <c r="E119" s="26">
        <v>90000</v>
      </c>
      <c r="F119" s="27">
        <f t="shared" si="1"/>
        <v>-255860</v>
      </c>
    </row>
    <row r="120" spans="1:6" x14ac:dyDescent="0.35">
      <c r="A120" s="51"/>
      <c r="B120" s="14" t="s">
        <v>184</v>
      </c>
      <c r="C120" s="25"/>
      <c r="D120" s="25"/>
      <c r="E120" s="26">
        <v>10000</v>
      </c>
      <c r="F120" s="27">
        <f t="shared" si="1"/>
        <v>-265860</v>
      </c>
    </row>
    <row r="121" spans="1:6" x14ac:dyDescent="0.35">
      <c r="A121" s="51"/>
      <c r="B121" s="14" t="s">
        <v>163</v>
      </c>
      <c r="C121" s="25"/>
      <c r="D121" s="25"/>
      <c r="E121" s="26">
        <v>3199</v>
      </c>
      <c r="F121" s="27">
        <f t="shared" si="1"/>
        <v>-269059</v>
      </c>
    </row>
    <row r="122" spans="1:6" x14ac:dyDescent="0.35">
      <c r="A122" s="56" t="s">
        <v>533</v>
      </c>
      <c r="B122" s="28" t="s">
        <v>185</v>
      </c>
      <c r="C122" s="29"/>
      <c r="D122" s="29">
        <v>6150000</v>
      </c>
      <c r="E122" s="30"/>
      <c r="F122" s="31">
        <f t="shared" si="1"/>
        <v>5880941</v>
      </c>
    </row>
    <row r="123" spans="1:6" x14ac:dyDescent="0.35">
      <c r="A123" s="56"/>
      <c r="B123" s="28" t="s">
        <v>186</v>
      </c>
      <c r="C123" s="29"/>
      <c r="D123" s="29">
        <v>2700000</v>
      </c>
      <c r="E123" s="30"/>
      <c r="F123" s="31">
        <f t="shared" si="1"/>
        <v>8580941</v>
      </c>
    </row>
    <row r="124" spans="1:6" x14ac:dyDescent="0.35">
      <c r="A124" s="51"/>
      <c r="B124" s="14" t="s">
        <v>187</v>
      </c>
      <c r="C124" s="25"/>
      <c r="D124" s="25"/>
      <c r="E124" s="26">
        <v>8800000</v>
      </c>
      <c r="F124" s="27">
        <f t="shared" si="1"/>
        <v>-219059</v>
      </c>
    </row>
    <row r="125" spans="1:6" x14ac:dyDescent="0.35">
      <c r="A125" s="51"/>
      <c r="B125" s="14" t="s">
        <v>53</v>
      </c>
      <c r="C125" s="25"/>
      <c r="D125" s="25"/>
      <c r="E125" s="26">
        <v>11200</v>
      </c>
      <c r="F125" s="27">
        <f t="shared" si="1"/>
        <v>-230259</v>
      </c>
    </row>
    <row r="126" spans="1:6" x14ac:dyDescent="0.35">
      <c r="A126" s="51"/>
      <c r="B126" s="28" t="s">
        <v>186</v>
      </c>
      <c r="C126" s="29"/>
      <c r="D126" s="29">
        <v>600000</v>
      </c>
      <c r="E126" s="30"/>
      <c r="F126" s="31">
        <f t="shared" si="1"/>
        <v>369741</v>
      </c>
    </row>
    <row r="127" spans="1:6" x14ac:dyDescent="0.35">
      <c r="A127" s="51"/>
      <c r="B127" s="14" t="s">
        <v>188</v>
      </c>
      <c r="C127" s="25"/>
      <c r="D127" s="25"/>
      <c r="E127" s="26">
        <v>407000</v>
      </c>
      <c r="F127" s="27">
        <f t="shared" si="1"/>
        <v>-37259</v>
      </c>
    </row>
    <row r="128" spans="1:6" x14ac:dyDescent="0.35">
      <c r="A128" s="51"/>
      <c r="B128" s="14" t="s">
        <v>189</v>
      </c>
      <c r="C128" s="25"/>
      <c r="D128" s="25"/>
      <c r="E128" s="26">
        <v>200000</v>
      </c>
      <c r="F128" s="27">
        <f t="shared" si="1"/>
        <v>-237259</v>
      </c>
    </row>
    <row r="129" spans="1:6" x14ac:dyDescent="0.35">
      <c r="A129" s="51"/>
      <c r="B129" s="14" t="s">
        <v>163</v>
      </c>
      <c r="C129" s="25"/>
      <c r="D129" s="25"/>
      <c r="E129" s="26">
        <v>1201</v>
      </c>
      <c r="F129" s="27">
        <f>(F128+D129-E129)</f>
        <v>-238460</v>
      </c>
    </row>
    <row r="130" spans="1:6" x14ac:dyDescent="0.35">
      <c r="A130" s="52">
        <v>45720</v>
      </c>
      <c r="B130" s="28" t="s">
        <v>161</v>
      </c>
      <c r="C130" s="29"/>
      <c r="D130" s="29">
        <v>3300000</v>
      </c>
      <c r="E130" s="30"/>
      <c r="F130" s="31">
        <f t="shared" ref="F130:F193" si="2">(F129+D130-E130)</f>
        <v>3061540</v>
      </c>
    </row>
    <row r="131" spans="1:6" x14ac:dyDescent="0.35">
      <c r="A131" s="51"/>
      <c r="B131" s="14" t="s">
        <v>190</v>
      </c>
      <c r="C131" s="25"/>
      <c r="D131" s="25"/>
      <c r="E131" s="26">
        <v>3300000</v>
      </c>
      <c r="F131" s="27">
        <f t="shared" si="2"/>
        <v>-238460</v>
      </c>
    </row>
    <row r="132" spans="1:6" x14ac:dyDescent="0.35">
      <c r="A132" s="51"/>
      <c r="B132" s="14" t="s">
        <v>191</v>
      </c>
      <c r="C132" s="25"/>
      <c r="D132" s="25"/>
      <c r="E132" s="26">
        <v>4600</v>
      </c>
      <c r="F132" s="27">
        <f t="shared" si="2"/>
        <v>-243060</v>
      </c>
    </row>
    <row r="133" spans="1:6" x14ac:dyDescent="0.35">
      <c r="A133" s="52">
        <v>45812</v>
      </c>
      <c r="B133" s="28" t="s">
        <v>168</v>
      </c>
      <c r="C133" s="29"/>
      <c r="D133" s="29">
        <v>3511000</v>
      </c>
      <c r="E133" s="30"/>
      <c r="F133" s="31">
        <f t="shared" si="2"/>
        <v>3267940</v>
      </c>
    </row>
    <row r="134" spans="1:6" x14ac:dyDescent="0.35">
      <c r="A134" s="51"/>
      <c r="B134" s="14" t="s">
        <v>192</v>
      </c>
      <c r="C134" s="25"/>
      <c r="D134" s="25"/>
      <c r="E134" s="26">
        <v>1073000</v>
      </c>
      <c r="F134" s="27">
        <f t="shared" si="2"/>
        <v>2194940</v>
      </c>
    </row>
    <row r="135" spans="1:6" x14ac:dyDescent="0.35">
      <c r="A135" s="51"/>
      <c r="B135" s="14" t="s">
        <v>193</v>
      </c>
      <c r="C135" s="25"/>
      <c r="D135" s="25"/>
      <c r="E135" s="26">
        <v>700000</v>
      </c>
      <c r="F135" s="27">
        <f t="shared" si="2"/>
        <v>1494940</v>
      </c>
    </row>
    <row r="136" spans="1:6" x14ac:dyDescent="0.35">
      <c r="A136" s="51"/>
      <c r="B136" s="14" t="s">
        <v>194</v>
      </c>
      <c r="C136" s="25"/>
      <c r="D136" s="25"/>
      <c r="E136" s="26">
        <v>248000</v>
      </c>
      <c r="F136" s="27">
        <f t="shared" si="2"/>
        <v>1246940</v>
      </c>
    </row>
    <row r="137" spans="1:6" x14ac:dyDescent="0.35">
      <c r="A137" s="51"/>
      <c r="B137" s="14" t="s">
        <v>195</v>
      </c>
      <c r="C137" s="25"/>
      <c r="D137" s="25"/>
      <c r="E137" s="26">
        <v>1000000</v>
      </c>
      <c r="F137" s="27">
        <f t="shared" si="2"/>
        <v>246940</v>
      </c>
    </row>
    <row r="138" spans="1:6" x14ac:dyDescent="0.35">
      <c r="A138" s="51"/>
      <c r="B138" s="14" t="s">
        <v>196</v>
      </c>
      <c r="C138" s="25"/>
      <c r="D138" s="25"/>
      <c r="E138" s="26">
        <v>200000</v>
      </c>
      <c r="F138" s="27">
        <f t="shared" si="2"/>
        <v>46940</v>
      </c>
    </row>
    <row r="139" spans="1:6" x14ac:dyDescent="0.35">
      <c r="A139" s="51"/>
      <c r="B139" s="14" t="s">
        <v>197</v>
      </c>
      <c r="C139" s="25"/>
      <c r="D139" s="25"/>
      <c r="E139" s="26">
        <v>200000</v>
      </c>
      <c r="F139" s="27">
        <f t="shared" si="2"/>
        <v>-153060</v>
      </c>
    </row>
    <row r="140" spans="1:6" x14ac:dyDescent="0.35">
      <c r="A140" s="51"/>
      <c r="B140" s="14" t="s">
        <v>198</v>
      </c>
      <c r="C140" s="25"/>
      <c r="D140" s="25"/>
      <c r="E140" s="26">
        <v>35000</v>
      </c>
      <c r="F140" s="27">
        <f t="shared" si="2"/>
        <v>-188060</v>
      </c>
    </row>
    <row r="141" spans="1:6" x14ac:dyDescent="0.35">
      <c r="A141" s="51"/>
      <c r="B141" s="14" t="s">
        <v>199</v>
      </c>
      <c r="C141" s="25"/>
      <c r="D141" s="25"/>
      <c r="E141" s="26">
        <v>35000</v>
      </c>
      <c r="F141" s="27">
        <f t="shared" si="2"/>
        <v>-223060</v>
      </c>
    </row>
    <row r="142" spans="1:6" x14ac:dyDescent="0.35">
      <c r="A142" s="51"/>
      <c r="B142" s="14" t="s">
        <v>200</v>
      </c>
      <c r="C142" s="25"/>
      <c r="D142" s="25"/>
      <c r="E142" s="26">
        <v>35000</v>
      </c>
      <c r="F142" s="27">
        <f t="shared" si="2"/>
        <v>-258060</v>
      </c>
    </row>
    <row r="143" spans="1:6" x14ac:dyDescent="0.35">
      <c r="A143" s="51"/>
      <c r="B143" s="14" t="s">
        <v>163</v>
      </c>
      <c r="C143" s="25"/>
      <c r="D143" s="25"/>
      <c r="E143" s="26">
        <v>3600</v>
      </c>
      <c r="F143" s="27">
        <f t="shared" si="2"/>
        <v>-261660</v>
      </c>
    </row>
    <row r="144" spans="1:6" x14ac:dyDescent="0.35">
      <c r="A144" s="51"/>
      <c r="B144" s="14" t="s">
        <v>201</v>
      </c>
      <c r="C144" s="25"/>
      <c r="D144" s="25">
        <v>4319000</v>
      </c>
      <c r="E144" s="26"/>
      <c r="F144" s="27">
        <f t="shared" si="2"/>
        <v>4057340</v>
      </c>
    </row>
    <row r="145" spans="1:6" x14ac:dyDescent="0.35">
      <c r="A145" s="57">
        <v>45873</v>
      </c>
      <c r="B145" s="14" t="s">
        <v>202</v>
      </c>
      <c r="C145" s="25"/>
      <c r="D145" s="25"/>
      <c r="E145" s="26">
        <v>1000000</v>
      </c>
      <c r="F145" s="27">
        <f t="shared" si="2"/>
        <v>3057340</v>
      </c>
    </row>
    <row r="146" spans="1:6" x14ac:dyDescent="0.35">
      <c r="A146" s="51"/>
      <c r="B146" s="14" t="s">
        <v>203</v>
      </c>
      <c r="C146" s="25"/>
      <c r="D146" s="25"/>
      <c r="E146" s="26">
        <v>50000</v>
      </c>
      <c r="F146" s="27">
        <f t="shared" si="2"/>
        <v>3007340</v>
      </c>
    </row>
    <row r="147" spans="1:6" x14ac:dyDescent="0.35">
      <c r="A147" s="51"/>
      <c r="B147" s="14" t="s">
        <v>120</v>
      </c>
      <c r="C147" s="25"/>
      <c r="D147" s="25"/>
      <c r="E147" s="26">
        <v>200000</v>
      </c>
      <c r="F147" s="27">
        <f t="shared" si="2"/>
        <v>2807340</v>
      </c>
    </row>
    <row r="148" spans="1:6" x14ac:dyDescent="0.35">
      <c r="A148" s="51"/>
      <c r="B148" s="14" t="s">
        <v>204</v>
      </c>
      <c r="C148" s="25"/>
      <c r="D148" s="25"/>
      <c r="E148" s="26">
        <v>20000</v>
      </c>
      <c r="F148" s="27">
        <f t="shared" si="2"/>
        <v>2787340</v>
      </c>
    </row>
    <row r="149" spans="1:6" x14ac:dyDescent="0.35">
      <c r="A149" s="51"/>
      <c r="B149" s="14" t="s">
        <v>205</v>
      </c>
      <c r="C149" s="25"/>
      <c r="D149" s="25"/>
      <c r="E149" s="26">
        <v>50000</v>
      </c>
      <c r="F149" s="27">
        <f t="shared" si="2"/>
        <v>2737340</v>
      </c>
    </row>
    <row r="150" spans="1:6" x14ac:dyDescent="0.35">
      <c r="A150" s="51"/>
      <c r="B150" s="14" t="s">
        <v>206</v>
      </c>
      <c r="C150" s="25"/>
      <c r="D150" s="25"/>
      <c r="E150" s="26">
        <v>50000</v>
      </c>
      <c r="F150" s="27">
        <f t="shared" si="2"/>
        <v>2687340</v>
      </c>
    </row>
    <row r="151" spans="1:6" x14ac:dyDescent="0.35">
      <c r="A151" s="51"/>
      <c r="B151" s="14" t="s">
        <v>207</v>
      </c>
      <c r="C151" s="25"/>
      <c r="D151" s="25"/>
      <c r="E151" s="26">
        <v>40000</v>
      </c>
      <c r="F151" s="27">
        <f t="shared" si="2"/>
        <v>2647340</v>
      </c>
    </row>
    <row r="152" spans="1:6" x14ac:dyDescent="0.35">
      <c r="A152" s="51"/>
      <c r="B152" s="14" t="s">
        <v>208</v>
      </c>
      <c r="C152" s="25"/>
      <c r="D152" s="25"/>
      <c r="E152" s="26">
        <v>80000</v>
      </c>
      <c r="F152" s="27">
        <f t="shared" si="2"/>
        <v>2567340</v>
      </c>
    </row>
    <row r="153" spans="1:6" x14ac:dyDescent="0.35">
      <c r="A153" s="51"/>
      <c r="B153" s="14" t="s">
        <v>209</v>
      </c>
      <c r="C153" s="25"/>
      <c r="D153" s="25"/>
      <c r="E153" s="26">
        <v>10000</v>
      </c>
      <c r="F153" s="27">
        <f t="shared" si="2"/>
        <v>2557340</v>
      </c>
    </row>
    <row r="154" spans="1:6" x14ac:dyDescent="0.35">
      <c r="A154" s="51"/>
      <c r="B154" s="14" t="s">
        <v>210</v>
      </c>
      <c r="C154" s="25"/>
      <c r="D154" s="25"/>
      <c r="E154" s="26">
        <v>35000</v>
      </c>
      <c r="F154" s="27">
        <f t="shared" si="2"/>
        <v>2522340</v>
      </c>
    </row>
    <row r="155" spans="1:6" x14ac:dyDescent="0.35">
      <c r="A155" s="51"/>
      <c r="B155" s="14" t="s">
        <v>211</v>
      </c>
      <c r="C155" s="25"/>
      <c r="D155" s="25"/>
      <c r="E155" s="26">
        <v>10000</v>
      </c>
      <c r="F155" s="27">
        <f t="shared" si="2"/>
        <v>2512340</v>
      </c>
    </row>
    <row r="156" spans="1:6" x14ac:dyDescent="0.35">
      <c r="A156" s="51"/>
      <c r="B156" s="14" t="s">
        <v>212</v>
      </c>
      <c r="C156" s="25"/>
      <c r="D156" s="25"/>
      <c r="E156" s="26">
        <v>500000</v>
      </c>
      <c r="F156" s="27">
        <f t="shared" si="2"/>
        <v>2012340</v>
      </c>
    </row>
    <row r="157" spans="1:6" x14ac:dyDescent="0.35">
      <c r="A157" s="51"/>
      <c r="B157" s="14" t="s">
        <v>213</v>
      </c>
      <c r="C157" s="25"/>
      <c r="D157" s="25"/>
      <c r="E157" s="26">
        <v>120000</v>
      </c>
      <c r="F157" s="27">
        <f t="shared" si="2"/>
        <v>1892340</v>
      </c>
    </row>
    <row r="158" spans="1:6" x14ac:dyDescent="0.35">
      <c r="A158" s="51"/>
      <c r="B158" s="14" t="s">
        <v>214</v>
      </c>
      <c r="C158" s="25"/>
      <c r="D158" s="25"/>
      <c r="E158" s="26">
        <v>700000</v>
      </c>
      <c r="F158" s="27">
        <f t="shared" si="2"/>
        <v>1192340</v>
      </c>
    </row>
    <row r="159" spans="1:6" x14ac:dyDescent="0.35">
      <c r="A159" s="51"/>
      <c r="B159" s="14" t="s">
        <v>215</v>
      </c>
      <c r="C159" s="25"/>
      <c r="D159" s="25"/>
      <c r="E159" s="26">
        <v>100000</v>
      </c>
      <c r="F159" s="27">
        <f t="shared" si="2"/>
        <v>1092340</v>
      </c>
    </row>
    <row r="160" spans="1:6" x14ac:dyDescent="0.35">
      <c r="A160" s="51"/>
      <c r="B160" s="14" t="s">
        <v>216</v>
      </c>
      <c r="C160" s="25"/>
      <c r="D160" s="25"/>
      <c r="E160" s="26">
        <v>50000</v>
      </c>
      <c r="F160" s="27">
        <f t="shared" si="2"/>
        <v>1042340</v>
      </c>
    </row>
    <row r="161" spans="1:6" x14ac:dyDescent="0.35">
      <c r="A161" s="51"/>
      <c r="B161" s="14" t="s">
        <v>217</v>
      </c>
      <c r="C161" s="25"/>
      <c r="D161" s="25"/>
      <c r="E161" s="26">
        <v>40000</v>
      </c>
      <c r="F161" s="27">
        <f t="shared" si="2"/>
        <v>1002340</v>
      </c>
    </row>
    <row r="162" spans="1:6" x14ac:dyDescent="0.35">
      <c r="A162" s="51"/>
      <c r="B162" s="14" t="s">
        <v>218</v>
      </c>
      <c r="C162" s="25"/>
      <c r="D162" s="25"/>
      <c r="E162" s="26">
        <v>50000</v>
      </c>
      <c r="F162" s="27">
        <f t="shared" si="2"/>
        <v>952340</v>
      </c>
    </row>
    <row r="163" spans="1:6" x14ac:dyDescent="0.35">
      <c r="A163" s="51"/>
      <c r="B163" s="14" t="s">
        <v>219</v>
      </c>
      <c r="C163" s="25"/>
      <c r="D163" s="25"/>
      <c r="E163" s="26">
        <v>10000</v>
      </c>
      <c r="F163" s="27">
        <f t="shared" si="2"/>
        <v>942340</v>
      </c>
    </row>
    <row r="164" spans="1:6" x14ac:dyDescent="0.35">
      <c r="A164" s="51"/>
      <c r="B164" s="14" t="s">
        <v>220</v>
      </c>
      <c r="C164" s="25"/>
      <c r="D164" s="25"/>
      <c r="E164" s="26">
        <v>185000</v>
      </c>
      <c r="F164" s="27">
        <f t="shared" si="2"/>
        <v>757340</v>
      </c>
    </row>
    <row r="165" spans="1:6" x14ac:dyDescent="0.35">
      <c r="A165" s="51"/>
      <c r="B165" s="14" t="s">
        <v>221</v>
      </c>
      <c r="C165" s="25"/>
      <c r="D165" s="25"/>
      <c r="E165" s="26">
        <v>90000</v>
      </c>
      <c r="F165" s="27">
        <f t="shared" si="2"/>
        <v>667340</v>
      </c>
    </row>
    <row r="166" spans="1:6" x14ac:dyDescent="0.35">
      <c r="A166" s="51"/>
      <c r="B166" s="14" t="s">
        <v>222</v>
      </c>
      <c r="C166" s="25"/>
      <c r="D166" s="25"/>
      <c r="E166" s="26">
        <v>554000</v>
      </c>
      <c r="F166" s="27">
        <f t="shared" si="2"/>
        <v>113340</v>
      </c>
    </row>
    <row r="167" spans="1:6" x14ac:dyDescent="0.35">
      <c r="A167" s="51"/>
      <c r="B167" s="14" t="s">
        <v>223</v>
      </c>
      <c r="C167" s="25"/>
      <c r="D167" s="25"/>
      <c r="E167" s="26">
        <v>375000</v>
      </c>
      <c r="F167" s="27">
        <f t="shared" si="2"/>
        <v>-261660</v>
      </c>
    </row>
    <row r="168" spans="1:6" x14ac:dyDescent="0.35">
      <c r="A168" s="51"/>
      <c r="B168" s="14" t="s">
        <v>163</v>
      </c>
      <c r="C168" s="25"/>
      <c r="D168" s="25"/>
      <c r="E168" s="26">
        <v>6600</v>
      </c>
      <c r="F168" s="27">
        <f t="shared" si="2"/>
        <v>-268260</v>
      </c>
    </row>
    <row r="169" spans="1:6" x14ac:dyDescent="0.35">
      <c r="A169" s="52">
        <v>45995</v>
      </c>
      <c r="B169" s="28" t="s">
        <v>161</v>
      </c>
      <c r="C169" s="29"/>
      <c r="D169" s="29">
        <v>8710000</v>
      </c>
      <c r="E169" s="30"/>
      <c r="F169" s="31">
        <f t="shared" si="2"/>
        <v>8441740</v>
      </c>
    </row>
    <row r="170" spans="1:6" x14ac:dyDescent="0.35">
      <c r="A170" s="51"/>
      <c r="B170" s="14" t="s">
        <v>224</v>
      </c>
      <c r="C170" s="25"/>
      <c r="D170" s="25"/>
      <c r="E170" s="26">
        <v>8200000</v>
      </c>
      <c r="F170" s="27">
        <f t="shared" si="2"/>
        <v>241740</v>
      </c>
    </row>
    <row r="171" spans="1:6" x14ac:dyDescent="0.35">
      <c r="A171" s="51"/>
      <c r="B171" s="14" t="s">
        <v>163</v>
      </c>
      <c r="C171" s="25"/>
      <c r="D171" s="25"/>
      <c r="E171" s="26">
        <v>12200</v>
      </c>
      <c r="F171" s="27">
        <f t="shared" si="2"/>
        <v>229540</v>
      </c>
    </row>
    <row r="172" spans="1:6" x14ac:dyDescent="0.35">
      <c r="A172" s="56" t="s">
        <v>534</v>
      </c>
      <c r="B172" s="28" t="s">
        <v>161</v>
      </c>
      <c r="C172" s="29"/>
      <c r="D172" s="29">
        <v>7900000</v>
      </c>
      <c r="E172" s="30"/>
      <c r="F172" s="31">
        <f t="shared" si="2"/>
        <v>8129540</v>
      </c>
    </row>
    <row r="173" spans="1:6" x14ac:dyDescent="0.35">
      <c r="A173" s="51"/>
      <c r="B173" s="14" t="s">
        <v>225</v>
      </c>
      <c r="C173" s="25"/>
      <c r="D173" s="25"/>
      <c r="E173" s="26">
        <v>7600000</v>
      </c>
      <c r="F173" s="27">
        <f t="shared" si="2"/>
        <v>529540</v>
      </c>
    </row>
    <row r="174" spans="1:6" x14ac:dyDescent="0.35">
      <c r="A174" s="51"/>
      <c r="B174" s="14" t="s">
        <v>226</v>
      </c>
      <c r="C174" s="25"/>
      <c r="D174" s="25"/>
      <c r="E174" s="26">
        <v>70000</v>
      </c>
      <c r="F174" s="27">
        <f t="shared" si="2"/>
        <v>459540</v>
      </c>
    </row>
    <row r="175" spans="1:6" x14ac:dyDescent="0.35">
      <c r="A175" s="51"/>
      <c r="B175" s="14" t="s">
        <v>163</v>
      </c>
      <c r="C175" s="25"/>
      <c r="D175" s="25"/>
      <c r="E175" s="26">
        <v>10400</v>
      </c>
      <c r="F175" s="27">
        <f t="shared" si="2"/>
        <v>449140</v>
      </c>
    </row>
    <row r="176" spans="1:6" x14ac:dyDescent="0.35">
      <c r="A176" s="56" t="s">
        <v>535</v>
      </c>
      <c r="B176" s="28" t="s">
        <v>161</v>
      </c>
      <c r="C176" s="29"/>
      <c r="D176" s="29">
        <v>9000000</v>
      </c>
      <c r="E176" s="30"/>
      <c r="F176" s="31">
        <f t="shared" si="2"/>
        <v>9449140</v>
      </c>
    </row>
    <row r="177" spans="1:6" x14ac:dyDescent="0.35">
      <c r="A177" s="51"/>
      <c r="B177" s="14" t="s">
        <v>157</v>
      </c>
      <c r="C177" s="25"/>
      <c r="D177" s="25"/>
      <c r="E177" s="26">
        <v>9600000</v>
      </c>
      <c r="F177" s="27">
        <f t="shared" si="2"/>
        <v>-150860</v>
      </c>
    </row>
    <row r="178" spans="1:6" x14ac:dyDescent="0.35">
      <c r="A178" s="51"/>
      <c r="B178" s="14" t="s">
        <v>227</v>
      </c>
      <c r="C178" s="25"/>
      <c r="D178" s="25"/>
      <c r="E178" s="26">
        <v>39000</v>
      </c>
      <c r="F178" s="27">
        <f t="shared" si="2"/>
        <v>-189860</v>
      </c>
    </row>
    <row r="179" spans="1:6" x14ac:dyDescent="0.35">
      <c r="A179" s="51"/>
      <c r="B179" s="14" t="s">
        <v>163</v>
      </c>
      <c r="C179" s="25"/>
      <c r="D179" s="25"/>
      <c r="E179" s="26">
        <v>8973</v>
      </c>
      <c r="F179" s="27">
        <f t="shared" si="2"/>
        <v>-198833</v>
      </c>
    </row>
    <row r="180" spans="1:6" x14ac:dyDescent="0.35">
      <c r="A180" s="52">
        <v>45693</v>
      </c>
      <c r="B180" s="28" t="s">
        <v>228</v>
      </c>
      <c r="C180" s="29"/>
      <c r="D180" s="29">
        <v>6600000</v>
      </c>
      <c r="E180" s="30"/>
      <c r="F180" s="31">
        <f t="shared" si="2"/>
        <v>6401167</v>
      </c>
    </row>
    <row r="181" spans="1:6" x14ac:dyDescent="0.35">
      <c r="A181" s="51"/>
      <c r="B181" s="14" t="s">
        <v>229</v>
      </c>
      <c r="C181" s="25"/>
      <c r="D181" s="25"/>
      <c r="E181" s="26">
        <v>6600000</v>
      </c>
      <c r="F181" s="27">
        <f t="shared" si="2"/>
        <v>-198833</v>
      </c>
    </row>
    <row r="182" spans="1:6" x14ac:dyDescent="0.35">
      <c r="A182" s="51"/>
      <c r="B182" s="14" t="s">
        <v>163</v>
      </c>
      <c r="C182" s="25"/>
      <c r="D182" s="25"/>
      <c r="E182" s="26">
        <v>8000</v>
      </c>
      <c r="F182" s="27">
        <f t="shared" si="2"/>
        <v>-206833</v>
      </c>
    </row>
    <row r="183" spans="1:6" x14ac:dyDescent="0.35">
      <c r="A183" s="58">
        <v>45905</v>
      </c>
      <c r="B183" s="28" t="s">
        <v>230</v>
      </c>
      <c r="C183" s="29"/>
      <c r="D183" s="29">
        <v>5500000</v>
      </c>
      <c r="E183" s="30"/>
      <c r="F183" s="31">
        <f>(F182+D183-E183)</f>
        <v>5293167</v>
      </c>
    </row>
    <row r="184" spans="1:6" x14ac:dyDescent="0.35">
      <c r="A184" s="51"/>
      <c r="B184" s="14" t="s">
        <v>231</v>
      </c>
      <c r="C184" s="25"/>
      <c r="D184" s="25"/>
      <c r="E184" s="26">
        <v>50000</v>
      </c>
      <c r="F184" s="27">
        <f t="shared" si="2"/>
        <v>5243167</v>
      </c>
    </row>
    <row r="185" spans="1:6" x14ac:dyDescent="0.35">
      <c r="A185" s="51"/>
      <c r="B185" s="14" t="s">
        <v>232</v>
      </c>
      <c r="C185" s="25"/>
      <c r="D185" s="25"/>
      <c r="E185" s="26">
        <v>20000</v>
      </c>
      <c r="F185" s="27">
        <f t="shared" si="2"/>
        <v>5223167</v>
      </c>
    </row>
    <row r="186" spans="1:6" x14ac:dyDescent="0.35">
      <c r="A186" s="51"/>
      <c r="B186" s="14" t="s">
        <v>233</v>
      </c>
      <c r="C186" s="25"/>
      <c r="D186" s="25"/>
      <c r="E186" s="26">
        <v>35000</v>
      </c>
      <c r="F186" s="27">
        <f t="shared" si="2"/>
        <v>5188167</v>
      </c>
    </row>
    <row r="187" spans="1:6" x14ac:dyDescent="0.35">
      <c r="A187" s="51"/>
      <c r="B187" s="14" t="s">
        <v>211</v>
      </c>
      <c r="C187" s="25"/>
      <c r="D187" s="25"/>
      <c r="E187" s="26">
        <v>10000</v>
      </c>
      <c r="F187" s="27">
        <f t="shared" si="2"/>
        <v>5178167</v>
      </c>
    </row>
    <row r="188" spans="1:6" x14ac:dyDescent="0.35">
      <c r="A188" s="51"/>
      <c r="B188" s="14" t="s">
        <v>234</v>
      </c>
      <c r="C188" s="25"/>
      <c r="D188" s="25"/>
      <c r="E188" s="26">
        <v>700000</v>
      </c>
      <c r="F188" s="27">
        <f t="shared" si="2"/>
        <v>4478167</v>
      </c>
    </row>
    <row r="189" spans="1:6" x14ac:dyDescent="0.35">
      <c r="A189" s="51"/>
      <c r="B189" s="14" t="s">
        <v>235</v>
      </c>
      <c r="C189" s="25"/>
      <c r="D189" s="25"/>
      <c r="E189" s="26">
        <v>120000</v>
      </c>
      <c r="F189" s="27">
        <f t="shared" si="2"/>
        <v>4358167</v>
      </c>
    </row>
    <row r="190" spans="1:6" x14ac:dyDescent="0.35">
      <c r="A190" s="51"/>
      <c r="B190" s="14" t="s">
        <v>236</v>
      </c>
      <c r="C190" s="25"/>
      <c r="D190" s="25"/>
      <c r="E190" s="26">
        <v>20000</v>
      </c>
      <c r="F190" s="27">
        <f t="shared" si="2"/>
        <v>4338167</v>
      </c>
    </row>
    <row r="191" spans="1:6" x14ac:dyDescent="0.35">
      <c r="A191" s="51"/>
      <c r="B191" s="14" t="s">
        <v>237</v>
      </c>
      <c r="C191" s="25"/>
      <c r="D191" s="25"/>
      <c r="E191" s="26">
        <v>10000</v>
      </c>
      <c r="F191" s="27">
        <f t="shared" si="2"/>
        <v>4328167</v>
      </c>
    </row>
    <row r="192" spans="1:6" x14ac:dyDescent="0.35">
      <c r="A192" s="51"/>
      <c r="B192" s="14" t="s">
        <v>238</v>
      </c>
      <c r="C192" s="25"/>
      <c r="D192" s="25"/>
      <c r="E192" s="26">
        <v>5000</v>
      </c>
      <c r="F192" s="27">
        <f t="shared" si="2"/>
        <v>4323167</v>
      </c>
    </row>
    <row r="193" spans="1:6" x14ac:dyDescent="0.35">
      <c r="A193" s="51"/>
      <c r="B193" s="14" t="s">
        <v>239</v>
      </c>
      <c r="C193" s="25"/>
      <c r="D193" s="25"/>
      <c r="E193" s="26">
        <v>1073000</v>
      </c>
      <c r="F193" s="27">
        <f t="shared" si="2"/>
        <v>3250167</v>
      </c>
    </row>
    <row r="194" spans="1:6" x14ac:dyDescent="0.35">
      <c r="A194" s="51"/>
      <c r="B194" s="14" t="s">
        <v>240</v>
      </c>
      <c r="C194" s="25"/>
      <c r="D194" s="25"/>
      <c r="E194" s="26">
        <v>650000</v>
      </c>
      <c r="F194" s="27">
        <f t="shared" ref="F194:F257" si="3">(F193+D194-E194)</f>
        <v>2600167</v>
      </c>
    </row>
    <row r="195" spans="1:6" x14ac:dyDescent="0.35">
      <c r="A195" s="51"/>
      <c r="B195" s="14" t="s">
        <v>241</v>
      </c>
      <c r="C195" s="25"/>
      <c r="D195" s="25"/>
      <c r="E195" s="26">
        <v>248000</v>
      </c>
      <c r="F195" s="27">
        <f t="shared" si="3"/>
        <v>2352167</v>
      </c>
    </row>
    <row r="196" spans="1:6" x14ac:dyDescent="0.35">
      <c r="A196" s="51"/>
      <c r="B196" s="14" t="s">
        <v>242</v>
      </c>
      <c r="C196" s="25"/>
      <c r="D196" s="25"/>
      <c r="E196" s="26">
        <v>1000000</v>
      </c>
      <c r="F196" s="27">
        <f t="shared" si="3"/>
        <v>1352167</v>
      </c>
    </row>
    <row r="197" spans="1:6" x14ac:dyDescent="0.35">
      <c r="A197" s="51"/>
      <c r="B197" s="14" t="s">
        <v>243</v>
      </c>
      <c r="C197" s="25"/>
      <c r="D197" s="25"/>
      <c r="E197" s="26">
        <v>200000</v>
      </c>
      <c r="F197" s="27">
        <f t="shared" si="3"/>
        <v>1152167</v>
      </c>
    </row>
    <row r="198" spans="1:6" x14ac:dyDescent="0.35">
      <c r="A198" s="51"/>
      <c r="B198" s="14" t="s">
        <v>244</v>
      </c>
      <c r="C198" s="25"/>
      <c r="D198" s="25"/>
      <c r="E198" s="26">
        <v>200000</v>
      </c>
      <c r="F198" s="27">
        <f t="shared" si="3"/>
        <v>952167</v>
      </c>
    </row>
    <row r="199" spans="1:6" x14ac:dyDescent="0.35">
      <c r="A199" s="51"/>
      <c r="B199" s="14" t="s">
        <v>245</v>
      </c>
      <c r="C199" s="25"/>
      <c r="D199" s="25"/>
      <c r="E199" s="26">
        <v>35000</v>
      </c>
      <c r="F199" s="27">
        <f t="shared" si="3"/>
        <v>917167</v>
      </c>
    </row>
    <row r="200" spans="1:6" x14ac:dyDescent="0.35">
      <c r="A200" s="51"/>
      <c r="B200" s="14" t="s">
        <v>246</v>
      </c>
      <c r="C200" s="25"/>
      <c r="D200" s="25"/>
      <c r="E200" s="26">
        <v>35000</v>
      </c>
      <c r="F200" s="27">
        <f t="shared" si="3"/>
        <v>882167</v>
      </c>
    </row>
    <row r="201" spans="1:6" x14ac:dyDescent="0.35">
      <c r="A201" s="51"/>
      <c r="B201" s="14" t="s">
        <v>247</v>
      </c>
      <c r="C201" s="25"/>
      <c r="D201" s="25"/>
      <c r="E201" s="26">
        <v>35000</v>
      </c>
      <c r="F201" s="27">
        <f t="shared" si="3"/>
        <v>847167</v>
      </c>
    </row>
    <row r="202" spans="1:6" x14ac:dyDescent="0.35">
      <c r="A202" s="51"/>
      <c r="B202" s="14" t="s">
        <v>248</v>
      </c>
      <c r="C202" s="25"/>
      <c r="D202" s="25"/>
      <c r="E202" s="26">
        <v>50000</v>
      </c>
      <c r="F202" s="27">
        <f t="shared" si="3"/>
        <v>797167</v>
      </c>
    </row>
    <row r="203" spans="1:6" x14ac:dyDescent="0.35">
      <c r="A203" s="51"/>
      <c r="B203" s="14" t="s">
        <v>249</v>
      </c>
      <c r="C203" s="25"/>
      <c r="D203" s="25"/>
      <c r="E203" s="26">
        <v>80000</v>
      </c>
      <c r="F203" s="27">
        <f t="shared" si="3"/>
        <v>717167</v>
      </c>
    </row>
    <row r="204" spans="1:6" x14ac:dyDescent="0.35">
      <c r="A204" s="51"/>
      <c r="B204" s="14" t="s">
        <v>250</v>
      </c>
      <c r="C204" s="25"/>
      <c r="D204" s="25"/>
      <c r="E204" s="26">
        <v>554000</v>
      </c>
      <c r="F204" s="27">
        <f t="shared" si="3"/>
        <v>163167</v>
      </c>
    </row>
    <row r="205" spans="1:6" x14ac:dyDescent="0.35">
      <c r="A205" s="51"/>
      <c r="B205" s="14" t="s">
        <v>251</v>
      </c>
      <c r="C205" s="25"/>
      <c r="D205" s="25"/>
      <c r="E205" s="26">
        <v>375000</v>
      </c>
      <c r="F205" s="27">
        <f t="shared" si="3"/>
        <v>-211833</v>
      </c>
    </row>
    <row r="206" spans="1:6" x14ac:dyDescent="0.35">
      <c r="A206" s="51"/>
      <c r="B206" s="14" t="s">
        <v>163</v>
      </c>
      <c r="C206" s="25"/>
      <c r="D206" s="25"/>
      <c r="E206" s="26">
        <v>3800</v>
      </c>
      <c r="F206" s="27">
        <f t="shared" si="3"/>
        <v>-215633</v>
      </c>
    </row>
    <row r="207" spans="1:6" x14ac:dyDescent="0.35">
      <c r="A207" s="56" t="s">
        <v>536</v>
      </c>
      <c r="B207" s="28" t="s">
        <v>161</v>
      </c>
      <c r="C207" s="29"/>
      <c r="D207" s="29">
        <v>10365000</v>
      </c>
      <c r="E207" s="30"/>
      <c r="F207" s="31">
        <f t="shared" si="3"/>
        <v>10149367</v>
      </c>
    </row>
    <row r="208" spans="1:6" x14ac:dyDescent="0.35">
      <c r="A208" s="51"/>
      <c r="B208" s="14" t="s">
        <v>252</v>
      </c>
      <c r="C208" s="25"/>
      <c r="D208" s="25"/>
      <c r="E208" s="26">
        <v>10000000</v>
      </c>
      <c r="F208" s="27">
        <f t="shared" si="3"/>
        <v>149367</v>
      </c>
    </row>
    <row r="209" spans="1:6" x14ac:dyDescent="0.35">
      <c r="A209" s="51"/>
      <c r="B209" s="14" t="s">
        <v>253</v>
      </c>
      <c r="C209" s="25"/>
      <c r="D209" s="25"/>
      <c r="E209" s="26">
        <v>300000</v>
      </c>
      <c r="F209" s="27">
        <f t="shared" si="3"/>
        <v>-150633</v>
      </c>
    </row>
    <row r="210" spans="1:6" x14ac:dyDescent="0.35">
      <c r="A210" s="51"/>
      <c r="B210" s="14" t="s">
        <v>254</v>
      </c>
      <c r="C210" s="25"/>
      <c r="D210" s="25"/>
      <c r="E210" s="26">
        <v>65000</v>
      </c>
      <c r="F210" s="27">
        <f t="shared" si="3"/>
        <v>-215633</v>
      </c>
    </row>
    <row r="211" spans="1:6" x14ac:dyDescent="0.35">
      <c r="A211" s="51"/>
      <c r="B211" s="14" t="s">
        <v>163</v>
      </c>
      <c r="C211" s="25"/>
      <c r="D211" s="25"/>
      <c r="E211" s="26">
        <v>14000</v>
      </c>
      <c r="F211" s="27">
        <f t="shared" si="3"/>
        <v>-229633</v>
      </c>
    </row>
    <row r="212" spans="1:6" x14ac:dyDescent="0.35">
      <c r="A212" s="56" t="s">
        <v>537</v>
      </c>
      <c r="B212" s="28" t="s">
        <v>161</v>
      </c>
      <c r="C212" s="29"/>
      <c r="D212" s="29">
        <v>750000</v>
      </c>
      <c r="E212" s="30"/>
      <c r="F212" s="31">
        <f t="shared" si="3"/>
        <v>520367</v>
      </c>
    </row>
    <row r="213" spans="1:6" x14ac:dyDescent="0.35">
      <c r="A213" s="51"/>
      <c r="B213" s="14" t="s">
        <v>255</v>
      </c>
      <c r="C213" s="25"/>
      <c r="D213" s="25"/>
      <c r="E213" s="26">
        <v>750000</v>
      </c>
      <c r="F213" s="27">
        <f t="shared" si="3"/>
        <v>-229633</v>
      </c>
    </row>
    <row r="214" spans="1:6" x14ac:dyDescent="0.35">
      <c r="A214" s="51"/>
      <c r="B214" s="14" t="s">
        <v>163</v>
      </c>
      <c r="C214" s="25"/>
      <c r="D214" s="25"/>
      <c r="E214" s="26">
        <v>1000</v>
      </c>
      <c r="F214" s="27">
        <f t="shared" si="3"/>
        <v>-230633</v>
      </c>
    </row>
    <row r="215" spans="1:6" x14ac:dyDescent="0.35">
      <c r="A215" s="56" t="s">
        <v>538</v>
      </c>
      <c r="B215" s="28" t="s">
        <v>161</v>
      </c>
      <c r="C215" s="29"/>
      <c r="D215" s="29">
        <v>2000000</v>
      </c>
      <c r="E215" s="30"/>
      <c r="F215" s="31">
        <f t="shared" si="3"/>
        <v>1769367</v>
      </c>
    </row>
    <row r="216" spans="1:6" x14ac:dyDescent="0.35">
      <c r="A216" s="51"/>
      <c r="B216" s="14" t="s">
        <v>255</v>
      </c>
      <c r="C216" s="25"/>
      <c r="D216" s="25"/>
      <c r="E216" s="26">
        <v>2000000</v>
      </c>
      <c r="F216" s="27">
        <f t="shared" si="3"/>
        <v>-230633</v>
      </c>
    </row>
    <row r="217" spans="1:6" x14ac:dyDescent="0.35">
      <c r="A217" s="51"/>
      <c r="B217" s="14" t="s">
        <v>163</v>
      </c>
      <c r="C217" s="25"/>
      <c r="D217" s="25"/>
      <c r="E217" s="26">
        <v>1000</v>
      </c>
      <c r="F217" s="27">
        <f t="shared" si="3"/>
        <v>-231633</v>
      </c>
    </row>
    <row r="218" spans="1:6" x14ac:dyDescent="0.35">
      <c r="A218" s="56" t="s">
        <v>539</v>
      </c>
      <c r="B218" s="28" t="s">
        <v>161</v>
      </c>
      <c r="C218" s="29"/>
      <c r="D218" s="29">
        <v>2000000</v>
      </c>
      <c r="E218" s="30"/>
      <c r="F218" s="31">
        <f t="shared" si="3"/>
        <v>1768367</v>
      </c>
    </row>
    <row r="219" spans="1:6" x14ac:dyDescent="0.35">
      <c r="A219" s="51"/>
      <c r="B219" s="14" t="s">
        <v>255</v>
      </c>
      <c r="C219" s="25"/>
      <c r="D219" s="25"/>
      <c r="E219" s="26">
        <v>2000000</v>
      </c>
      <c r="F219" s="27">
        <f t="shared" si="3"/>
        <v>-231633</v>
      </c>
    </row>
    <row r="220" spans="1:6" x14ac:dyDescent="0.35">
      <c r="A220" s="51"/>
      <c r="B220" s="14" t="s">
        <v>163</v>
      </c>
      <c r="C220" s="25"/>
      <c r="D220" s="25"/>
      <c r="E220" s="26">
        <v>1000</v>
      </c>
      <c r="F220" s="27">
        <f t="shared" si="3"/>
        <v>-232633</v>
      </c>
    </row>
    <row r="221" spans="1:6" x14ac:dyDescent="0.35">
      <c r="A221" s="56" t="s">
        <v>540</v>
      </c>
      <c r="B221" s="28" t="s">
        <v>161</v>
      </c>
      <c r="C221" s="29"/>
      <c r="D221" s="29">
        <v>5900000</v>
      </c>
      <c r="E221" s="30"/>
      <c r="F221" s="31">
        <f t="shared" si="3"/>
        <v>5667367</v>
      </c>
    </row>
    <row r="222" spans="1:6" x14ac:dyDescent="0.35">
      <c r="A222" s="51"/>
      <c r="B222" s="14" t="s">
        <v>225</v>
      </c>
      <c r="C222" s="25"/>
      <c r="D222" s="25"/>
      <c r="E222" s="26">
        <v>5900000</v>
      </c>
      <c r="F222" s="27">
        <f t="shared" si="3"/>
        <v>-232633</v>
      </c>
    </row>
    <row r="223" spans="1:6" x14ac:dyDescent="0.35">
      <c r="A223" s="56" t="s">
        <v>541</v>
      </c>
      <c r="B223" s="28" t="s">
        <v>161</v>
      </c>
      <c r="C223" s="29"/>
      <c r="D223" s="29">
        <v>450000</v>
      </c>
      <c r="E223" s="30"/>
      <c r="F223" s="31">
        <f t="shared" si="3"/>
        <v>217367</v>
      </c>
    </row>
    <row r="224" spans="1:6" x14ac:dyDescent="0.35">
      <c r="A224" s="51"/>
      <c r="B224" s="14" t="s">
        <v>256</v>
      </c>
      <c r="C224" s="25"/>
      <c r="D224" s="25"/>
      <c r="E224" s="26">
        <v>434000</v>
      </c>
      <c r="F224" s="27">
        <f t="shared" si="3"/>
        <v>-216633</v>
      </c>
    </row>
    <row r="225" spans="1:6" x14ac:dyDescent="0.35">
      <c r="A225" s="51"/>
      <c r="B225" s="14" t="s">
        <v>45</v>
      </c>
      <c r="C225" s="25"/>
      <c r="D225" s="25"/>
      <c r="E225" s="26">
        <v>10000</v>
      </c>
      <c r="F225" s="27">
        <f t="shared" si="3"/>
        <v>-226633</v>
      </c>
    </row>
    <row r="226" spans="1:6" x14ac:dyDescent="0.35">
      <c r="A226" s="51"/>
      <c r="B226" s="14" t="s">
        <v>257</v>
      </c>
      <c r="C226" s="25"/>
      <c r="D226" s="25"/>
      <c r="E226" s="26">
        <v>10000</v>
      </c>
      <c r="F226" s="27">
        <f t="shared" si="3"/>
        <v>-236633</v>
      </c>
    </row>
    <row r="227" spans="1:6" x14ac:dyDescent="0.35">
      <c r="A227" s="51"/>
      <c r="B227" s="14" t="s">
        <v>53</v>
      </c>
      <c r="C227" s="25"/>
      <c r="D227" s="25"/>
      <c r="E227" s="26">
        <v>4600</v>
      </c>
      <c r="F227" s="27">
        <f t="shared" si="3"/>
        <v>-241233</v>
      </c>
    </row>
    <row r="228" spans="1:6" x14ac:dyDescent="0.35">
      <c r="A228" s="51"/>
      <c r="B228" s="14" t="s">
        <v>258</v>
      </c>
      <c r="C228" s="25"/>
      <c r="D228" s="25">
        <v>6700000</v>
      </c>
      <c r="E228" s="26"/>
      <c r="F228" s="27">
        <f t="shared" si="3"/>
        <v>6458767</v>
      </c>
    </row>
    <row r="229" spans="1:6" x14ac:dyDescent="0.35">
      <c r="A229" s="56" t="s">
        <v>542</v>
      </c>
      <c r="B229" s="28" t="s">
        <v>259</v>
      </c>
      <c r="C229" s="29"/>
      <c r="D229" s="29"/>
      <c r="E229" s="30">
        <v>6700000</v>
      </c>
      <c r="F229" s="31">
        <f t="shared" si="3"/>
        <v>-241233</v>
      </c>
    </row>
    <row r="230" spans="1:6" x14ac:dyDescent="0.35">
      <c r="A230" s="51"/>
      <c r="B230" s="14" t="s">
        <v>53</v>
      </c>
      <c r="C230" s="25"/>
      <c r="D230" s="25"/>
      <c r="E230" s="26">
        <v>9400</v>
      </c>
      <c r="F230" s="27">
        <f t="shared" si="3"/>
        <v>-250633</v>
      </c>
    </row>
    <row r="231" spans="1:6" x14ac:dyDescent="0.35">
      <c r="A231" s="52">
        <v>45663</v>
      </c>
      <c r="B231" s="28" t="s">
        <v>161</v>
      </c>
      <c r="C231" s="29"/>
      <c r="D231" s="29">
        <v>218000</v>
      </c>
      <c r="E231" s="30"/>
      <c r="F231" s="31">
        <f t="shared" si="3"/>
        <v>-32633</v>
      </c>
    </row>
    <row r="232" spans="1:6" x14ac:dyDescent="0.35">
      <c r="A232" s="51"/>
      <c r="B232" s="14" t="s">
        <v>260</v>
      </c>
      <c r="C232" s="25"/>
      <c r="D232" s="25"/>
      <c r="E232" s="26">
        <v>218000</v>
      </c>
      <c r="F232" s="27">
        <f t="shared" si="3"/>
        <v>-250633</v>
      </c>
    </row>
    <row r="233" spans="1:6" x14ac:dyDescent="0.35">
      <c r="A233" s="51"/>
      <c r="B233" s="14" t="s">
        <v>261</v>
      </c>
      <c r="C233" s="25"/>
      <c r="D233" s="25"/>
      <c r="E233" s="26">
        <v>600</v>
      </c>
      <c r="F233" s="27">
        <f t="shared" si="3"/>
        <v>-251233</v>
      </c>
    </row>
    <row r="234" spans="1:6" x14ac:dyDescent="0.35">
      <c r="A234" s="52">
        <v>45967</v>
      </c>
      <c r="B234" s="28" t="s">
        <v>262</v>
      </c>
      <c r="C234" s="29"/>
      <c r="D234" s="29">
        <v>5400000</v>
      </c>
      <c r="E234" s="30"/>
      <c r="F234" s="31">
        <f t="shared" si="3"/>
        <v>5148767</v>
      </c>
    </row>
    <row r="235" spans="1:6" x14ac:dyDescent="0.35">
      <c r="A235" s="51"/>
      <c r="B235" s="14" t="s">
        <v>263</v>
      </c>
      <c r="C235" s="25"/>
      <c r="D235" s="25"/>
      <c r="E235" s="26">
        <v>1073000</v>
      </c>
      <c r="F235" s="27">
        <f t="shared" si="3"/>
        <v>4075767</v>
      </c>
    </row>
    <row r="236" spans="1:6" x14ac:dyDescent="0.35">
      <c r="A236" s="51"/>
      <c r="B236" s="14" t="s">
        <v>264</v>
      </c>
      <c r="C236" s="25"/>
      <c r="D236" s="25"/>
      <c r="E236" s="26">
        <v>650000</v>
      </c>
      <c r="F236" s="27">
        <f t="shared" si="3"/>
        <v>3425767</v>
      </c>
    </row>
    <row r="237" spans="1:6" x14ac:dyDescent="0.35">
      <c r="A237" s="51"/>
      <c r="B237" s="14" t="s">
        <v>265</v>
      </c>
      <c r="C237" s="25"/>
      <c r="D237" s="25"/>
      <c r="E237" s="26">
        <v>248000</v>
      </c>
      <c r="F237" s="27">
        <f t="shared" si="3"/>
        <v>3177767</v>
      </c>
    </row>
    <row r="238" spans="1:6" x14ac:dyDescent="0.35">
      <c r="A238" s="51"/>
      <c r="B238" s="14" t="s">
        <v>266</v>
      </c>
      <c r="C238" s="25"/>
      <c r="D238" s="25"/>
      <c r="E238" s="26">
        <v>1000000</v>
      </c>
      <c r="F238" s="27">
        <f t="shared" si="3"/>
        <v>2177767</v>
      </c>
    </row>
    <row r="239" spans="1:6" x14ac:dyDescent="0.35">
      <c r="A239" s="51"/>
      <c r="B239" s="14" t="s">
        <v>267</v>
      </c>
      <c r="C239" s="25"/>
      <c r="D239" s="25"/>
      <c r="E239" s="26">
        <v>200000</v>
      </c>
      <c r="F239" s="27">
        <f t="shared" si="3"/>
        <v>1977767</v>
      </c>
    </row>
    <row r="240" spans="1:6" x14ac:dyDescent="0.35">
      <c r="A240" s="51"/>
      <c r="B240" s="14" t="s">
        <v>268</v>
      </c>
      <c r="C240" s="25"/>
      <c r="D240" s="25"/>
      <c r="E240" s="26">
        <v>200000</v>
      </c>
      <c r="F240" s="27">
        <f t="shared" si="3"/>
        <v>1777767</v>
      </c>
    </row>
    <row r="241" spans="1:6" x14ac:dyDescent="0.35">
      <c r="A241" s="51"/>
      <c r="B241" s="14" t="s">
        <v>269</v>
      </c>
      <c r="C241" s="25"/>
      <c r="D241" s="25"/>
      <c r="E241" s="26">
        <v>35000</v>
      </c>
      <c r="F241" s="27">
        <f t="shared" si="3"/>
        <v>1742767</v>
      </c>
    </row>
    <row r="242" spans="1:6" x14ac:dyDescent="0.35">
      <c r="A242" s="51"/>
      <c r="B242" s="14" t="s">
        <v>270</v>
      </c>
      <c r="C242" s="25"/>
      <c r="D242" s="25"/>
      <c r="E242" s="26">
        <v>35000</v>
      </c>
      <c r="F242" s="27">
        <f t="shared" si="3"/>
        <v>1707767</v>
      </c>
    </row>
    <row r="243" spans="1:6" x14ac:dyDescent="0.35">
      <c r="A243" s="51"/>
      <c r="B243" s="14" t="s">
        <v>271</v>
      </c>
      <c r="C243" s="25"/>
      <c r="D243" s="25"/>
      <c r="E243" s="26">
        <v>35000</v>
      </c>
      <c r="F243" s="27">
        <f t="shared" si="3"/>
        <v>1672767</v>
      </c>
    </row>
    <row r="244" spans="1:6" x14ac:dyDescent="0.35">
      <c r="A244" s="51"/>
      <c r="B244" s="14" t="s">
        <v>272</v>
      </c>
      <c r="C244" s="25"/>
      <c r="D244" s="25"/>
      <c r="E244" s="26">
        <v>50000</v>
      </c>
      <c r="F244" s="27">
        <f t="shared" si="3"/>
        <v>1622767</v>
      </c>
    </row>
    <row r="245" spans="1:6" x14ac:dyDescent="0.35">
      <c r="A245" s="51"/>
      <c r="B245" s="14" t="s">
        <v>249</v>
      </c>
      <c r="C245" s="25"/>
      <c r="D245" s="25"/>
      <c r="E245" s="26">
        <v>80000</v>
      </c>
      <c r="F245" s="27">
        <f t="shared" si="3"/>
        <v>1542767</v>
      </c>
    </row>
    <row r="246" spans="1:6" x14ac:dyDescent="0.35">
      <c r="A246" s="51"/>
      <c r="B246" s="14" t="s">
        <v>273</v>
      </c>
      <c r="C246" s="25"/>
      <c r="D246" s="25"/>
      <c r="E246" s="26">
        <v>554000</v>
      </c>
      <c r="F246" s="27">
        <f t="shared" si="3"/>
        <v>988767</v>
      </c>
    </row>
    <row r="247" spans="1:6" x14ac:dyDescent="0.35">
      <c r="A247" s="51"/>
      <c r="B247" s="14" t="s">
        <v>274</v>
      </c>
      <c r="C247" s="25"/>
      <c r="D247" s="25"/>
      <c r="E247" s="26">
        <v>375000</v>
      </c>
      <c r="F247" s="27">
        <f t="shared" si="3"/>
        <v>613767</v>
      </c>
    </row>
    <row r="248" spans="1:6" x14ac:dyDescent="0.35">
      <c r="A248" s="51"/>
      <c r="B248" s="14" t="s">
        <v>203</v>
      </c>
      <c r="C248" s="25"/>
      <c r="D248" s="25"/>
      <c r="E248" s="26">
        <v>60000</v>
      </c>
      <c r="F248" s="27">
        <f t="shared" si="3"/>
        <v>553767</v>
      </c>
    </row>
    <row r="249" spans="1:6" x14ac:dyDescent="0.35">
      <c r="A249" s="51"/>
      <c r="B249" s="14" t="s">
        <v>275</v>
      </c>
      <c r="C249" s="25"/>
      <c r="D249" s="25"/>
      <c r="E249" s="26">
        <v>700000</v>
      </c>
      <c r="F249" s="27">
        <f t="shared" si="3"/>
        <v>-146233</v>
      </c>
    </row>
    <row r="250" spans="1:6" x14ac:dyDescent="0.35">
      <c r="A250" s="51"/>
      <c r="B250" s="14" t="s">
        <v>211</v>
      </c>
      <c r="C250" s="25"/>
      <c r="D250" s="25"/>
      <c r="E250" s="26">
        <v>10000</v>
      </c>
      <c r="F250" s="27">
        <f t="shared" si="3"/>
        <v>-156233</v>
      </c>
    </row>
    <row r="251" spans="1:6" x14ac:dyDescent="0.35">
      <c r="A251" s="51"/>
      <c r="B251" s="14" t="s">
        <v>276</v>
      </c>
      <c r="C251" s="25"/>
      <c r="D251" s="25"/>
      <c r="E251" s="26">
        <v>20000</v>
      </c>
      <c r="F251" s="27">
        <f t="shared" si="3"/>
        <v>-176233</v>
      </c>
    </row>
    <row r="252" spans="1:6" x14ac:dyDescent="0.35">
      <c r="A252" s="51"/>
      <c r="B252" s="14" t="s">
        <v>277</v>
      </c>
      <c r="C252" s="25">
        <v>4</v>
      </c>
      <c r="D252" s="25"/>
      <c r="E252" s="26">
        <v>4000</v>
      </c>
      <c r="F252" s="27">
        <f t="shared" si="3"/>
        <v>-180233</v>
      </c>
    </row>
    <row r="253" spans="1:6" x14ac:dyDescent="0.35">
      <c r="A253" s="51"/>
      <c r="B253" s="14" t="s">
        <v>278</v>
      </c>
      <c r="C253" s="25">
        <v>10</v>
      </c>
      <c r="D253" s="25"/>
      <c r="E253" s="26">
        <v>5000</v>
      </c>
      <c r="F253" s="27">
        <f t="shared" si="3"/>
        <v>-185233</v>
      </c>
    </row>
    <row r="254" spans="1:6" x14ac:dyDescent="0.35">
      <c r="A254" s="51"/>
      <c r="B254" s="14" t="s">
        <v>44</v>
      </c>
      <c r="C254" s="25"/>
      <c r="D254" s="25"/>
      <c r="E254" s="26">
        <v>2300</v>
      </c>
      <c r="F254" s="27">
        <f t="shared" si="3"/>
        <v>-187533</v>
      </c>
    </row>
    <row r="255" spans="1:6" x14ac:dyDescent="0.35">
      <c r="A255" s="51"/>
      <c r="B255" s="14" t="s">
        <v>45</v>
      </c>
      <c r="C255" s="25"/>
      <c r="D255" s="25"/>
      <c r="E255" s="26">
        <v>17200</v>
      </c>
      <c r="F255" s="27">
        <f t="shared" si="3"/>
        <v>-204733</v>
      </c>
    </row>
    <row r="256" spans="1:6" x14ac:dyDescent="0.35">
      <c r="A256" s="51"/>
      <c r="B256" s="14" t="s">
        <v>279</v>
      </c>
      <c r="C256" s="25"/>
      <c r="D256" s="25"/>
      <c r="E256" s="26">
        <v>20000</v>
      </c>
      <c r="F256" s="27">
        <f t="shared" si="3"/>
        <v>-224733</v>
      </c>
    </row>
    <row r="257" spans="1:6" x14ac:dyDescent="0.35">
      <c r="A257" s="51"/>
      <c r="B257" s="14" t="s">
        <v>280</v>
      </c>
      <c r="C257" s="25"/>
      <c r="D257" s="25"/>
      <c r="E257" s="26">
        <v>20000</v>
      </c>
      <c r="F257" s="27">
        <f t="shared" si="3"/>
        <v>-244733</v>
      </c>
    </row>
    <row r="258" spans="1:6" x14ac:dyDescent="0.35">
      <c r="A258" s="51"/>
      <c r="B258" s="14" t="s">
        <v>13</v>
      </c>
      <c r="C258" s="25"/>
      <c r="D258" s="25"/>
      <c r="E258" s="26">
        <v>4600</v>
      </c>
      <c r="F258" s="27">
        <f t="shared" ref="F258:F272" si="4">(F257+D258-E258)</f>
        <v>-249333</v>
      </c>
    </row>
    <row r="259" spans="1:6" x14ac:dyDescent="0.35">
      <c r="A259" s="56" t="s">
        <v>543</v>
      </c>
      <c r="B259" s="28" t="s">
        <v>262</v>
      </c>
      <c r="C259" s="29"/>
      <c r="D259" s="29">
        <v>11100000</v>
      </c>
      <c r="E259" s="30"/>
      <c r="F259" s="31">
        <f t="shared" si="4"/>
        <v>10850667</v>
      </c>
    </row>
    <row r="260" spans="1:6" x14ac:dyDescent="0.35">
      <c r="A260" s="51"/>
      <c r="B260" s="14" t="s">
        <v>281</v>
      </c>
      <c r="C260" s="25"/>
      <c r="D260" s="25"/>
      <c r="E260" s="26">
        <v>11100000</v>
      </c>
      <c r="F260" s="27">
        <f t="shared" si="4"/>
        <v>-249333</v>
      </c>
    </row>
    <row r="261" spans="1:6" x14ac:dyDescent="0.35">
      <c r="A261" s="51"/>
      <c r="B261" s="14" t="s">
        <v>13</v>
      </c>
      <c r="C261" s="25"/>
      <c r="D261" s="25"/>
      <c r="E261" s="26">
        <v>13700</v>
      </c>
      <c r="F261" s="27">
        <f t="shared" si="4"/>
        <v>-263033</v>
      </c>
    </row>
    <row r="262" spans="1:6" x14ac:dyDescent="0.35">
      <c r="A262" s="56" t="s">
        <v>544</v>
      </c>
      <c r="B262" s="28" t="s">
        <v>282</v>
      </c>
      <c r="C262" s="29"/>
      <c r="D262" s="29">
        <v>9160000</v>
      </c>
      <c r="E262" s="30"/>
      <c r="F262" s="31">
        <f t="shared" si="4"/>
        <v>8896967</v>
      </c>
    </row>
    <row r="263" spans="1:6" x14ac:dyDescent="0.35">
      <c r="A263" s="51"/>
      <c r="B263" s="14" t="s">
        <v>157</v>
      </c>
      <c r="C263" s="25"/>
      <c r="D263" s="25"/>
      <c r="E263" s="26">
        <v>8800000</v>
      </c>
      <c r="F263" s="27">
        <f t="shared" si="4"/>
        <v>96967</v>
      </c>
    </row>
    <row r="264" spans="1:6" x14ac:dyDescent="0.35">
      <c r="A264" s="51"/>
      <c r="B264" s="14" t="s">
        <v>283</v>
      </c>
      <c r="C264" s="25"/>
      <c r="D264" s="25"/>
      <c r="E264" s="26">
        <v>60000</v>
      </c>
      <c r="F264" s="27">
        <f t="shared" si="4"/>
        <v>36967</v>
      </c>
    </row>
    <row r="265" spans="1:6" x14ac:dyDescent="0.35">
      <c r="A265" s="51"/>
      <c r="B265" s="14" t="s">
        <v>284</v>
      </c>
      <c r="C265" s="25"/>
      <c r="D265" s="25"/>
      <c r="E265" s="26">
        <v>11300</v>
      </c>
      <c r="F265" s="27">
        <f t="shared" si="4"/>
        <v>25667</v>
      </c>
    </row>
    <row r="266" spans="1:6" x14ac:dyDescent="0.35">
      <c r="A266" s="51" t="s">
        <v>545</v>
      </c>
      <c r="B266" s="14" t="s">
        <v>285</v>
      </c>
      <c r="C266" s="25"/>
      <c r="D266" s="25">
        <v>11842000</v>
      </c>
      <c r="E266" s="26"/>
      <c r="F266" s="27">
        <f t="shared" si="4"/>
        <v>11867667</v>
      </c>
    </row>
    <row r="267" spans="1:6" x14ac:dyDescent="0.35">
      <c r="A267" s="51"/>
      <c r="B267" s="14" t="s">
        <v>286</v>
      </c>
      <c r="C267" s="25"/>
      <c r="D267" s="25"/>
      <c r="E267" s="26">
        <v>11300000</v>
      </c>
      <c r="F267" s="27">
        <f t="shared" si="4"/>
        <v>567667</v>
      </c>
    </row>
    <row r="268" spans="1:6" x14ac:dyDescent="0.35">
      <c r="A268" s="51"/>
      <c r="B268" s="14" t="s">
        <v>287</v>
      </c>
      <c r="C268" s="25"/>
      <c r="D268" s="25"/>
      <c r="E268" s="26">
        <v>300000</v>
      </c>
      <c r="F268" s="27">
        <f t="shared" si="4"/>
        <v>267667</v>
      </c>
    </row>
    <row r="269" spans="1:6" x14ac:dyDescent="0.35">
      <c r="A269" s="51"/>
      <c r="B269" s="14" t="s">
        <v>288</v>
      </c>
      <c r="C269" s="25"/>
      <c r="D269" s="25"/>
      <c r="E269" s="26">
        <v>222000</v>
      </c>
      <c r="F269" s="27">
        <f t="shared" si="4"/>
        <v>45667</v>
      </c>
    </row>
    <row r="270" spans="1:6" x14ac:dyDescent="0.35">
      <c r="A270" s="51"/>
      <c r="B270" s="14" t="s">
        <v>284</v>
      </c>
      <c r="C270" s="25"/>
      <c r="D270" s="25"/>
      <c r="E270" s="26">
        <v>15800</v>
      </c>
      <c r="F270" s="27">
        <f t="shared" si="4"/>
        <v>29867</v>
      </c>
    </row>
    <row r="271" spans="1:6" x14ac:dyDescent="0.35">
      <c r="A271" s="32" t="s">
        <v>546</v>
      </c>
      <c r="B271" s="32" t="s">
        <v>289</v>
      </c>
      <c r="C271" s="32"/>
      <c r="D271" s="33">
        <v>5700000</v>
      </c>
      <c r="E271" s="33"/>
      <c r="F271" s="34">
        <f t="shared" si="4"/>
        <v>5729867</v>
      </c>
    </row>
    <row r="272" spans="1:6" x14ac:dyDescent="0.35">
      <c r="A272" s="10"/>
      <c r="B272" s="10" t="s">
        <v>290</v>
      </c>
      <c r="C272" s="10"/>
      <c r="D272" s="11"/>
      <c r="E272" s="11">
        <v>50000</v>
      </c>
      <c r="F272" s="27">
        <f t="shared" si="4"/>
        <v>5679867</v>
      </c>
    </row>
    <row r="273" spans="1:6" x14ac:dyDescent="0.35">
      <c r="A273" s="10"/>
      <c r="B273" s="10" t="s">
        <v>291</v>
      </c>
      <c r="C273" s="10"/>
      <c r="D273" s="11"/>
      <c r="E273" s="11">
        <v>700000</v>
      </c>
      <c r="F273" s="11">
        <f t="shared" ref="F273:F336" si="5">F272+D273-E273</f>
        <v>4979867</v>
      </c>
    </row>
    <row r="274" spans="1:6" x14ac:dyDescent="0.35">
      <c r="A274" s="10"/>
      <c r="B274" s="10" t="s">
        <v>7</v>
      </c>
      <c r="C274" s="10"/>
      <c r="D274" s="11"/>
      <c r="E274" s="11">
        <v>10000</v>
      </c>
      <c r="F274" s="11">
        <f t="shared" si="5"/>
        <v>4969867</v>
      </c>
    </row>
    <row r="275" spans="1:6" x14ac:dyDescent="0.35">
      <c r="A275" s="10"/>
      <c r="B275" s="10" t="s">
        <v>292</v>
      </c>
      <c r="C275" s="10"/>
      <c r="D275" s="11"/>
      <c r="E275" s="11">
        <v>20000</v>
      </c>
      <c r="F275" s="11">
        <f t="shared" si="5"/>
        <v>4949867</v>
      </c>
    </row>
    <row r="276" spans="1:6" x14ac:dyDescent="0.35">
      <c r="A276" s="10"/>
      <c r="B276" s="10" t="s">
        <v>293</v>
      </c>
      <c r="C276" s="10"/>
      <c r="D276" s="11"/>
      <c r="E276" s="11">
        <v>20000</v>
      </c>
      <c r="F276" s="11">
        <f t="shared" si="5"/>
        <v>4929867</v>
      </c>
    </row>
    <row r="277" spans="1:6" x14ac:dyDescent="0.35">
      <c r="A277" s="10"/>
      <c r="B277" s="10" t="s">
        <v>294</v>
      </c>
      <c r="C277" s="10"/>
      <c r="D277" s="11"/>
      <c r="E277" s="11">
        <v>31473</v>
      </c>
      <c r="F277" s="11">
        <f t="shared" si="5"/>
        <v>4898394</v>
      </c>
    </row>
    <row r="278" spans="1:6" x14ac:dyDescent="0.35">
      <c r="A278" s="10"/>
      <c r="B278" s="10" t="s">
        <v>295</v>
      </c>
      <c r="C278" s="10"/>
      <c r="D278" s="11"/>
      <c r="E278" s="11">
        <v>5000</v>
      </c>
      <c r="F278" s="11">
        <f t="shared" si="5"/>
        <v>4893394</v>
      </c>
    </row>
    <row r="279" spans="1:6" x14ac:dyDescent="0.35">
      <c r="A279" s="10"/>
      <c r="B279" s="10" t="s">
        <v>296</v>
      </c>
      <c r="C279" s="10"/>
      <c r="D279" s="11"/>
      <c r="E279" s="11">
        <v>30000</v>
      </c>
      <c r="F279" s="11">
        <f t="shared" si="5"/>
        <v>4863394</v>
      </c>
    </row>
    <row r="280" spans="1:6" x14ac:dyDescent="0.35">
      <c r="A280" s="10"/>
      <c r="B280" s="10" t="s">
        <v>297</v>
      </c>
      <c r="C280" s="10"/>
      <c r="D280" s="11"/>
      <c r="E280" s="11">
        <v>23000</v>
      </c>
      <c r="F280" s="11">
        <f t="shared" si="5"/>
        <v>4840394</v>
      </c>
    </row>
    <row r="281" spans="1:6" x14ac:dyDescent="0.35">
      <c r="A281" s="10"/>
      <c r="B281" s="10" t="s">
        <v>298</v>
      </c>
      <c r="C281" s="10"/>
      <c r="D281" s="11"/>
      <c r="E281" s="11">
        <v>20000</v>
      </c>
      <c r="F281" s="11">
        <f t="shared" si="5"/>
        <v>4820394</v>
      </c>
    </row>
    <row r="282" spans="1:6" x14ac:dyDescent="0.35">
      <c r="A282" s="10"/>
      <c r="B282" s="10" t="s">
        <v>298</v>
      </c>
      <c r="C282" s="10"/>
      <c r="D282" s="11"/>
      <c r="E282" s="11">
        <v>20000</v>
      </c>
      <c r="F282" s="11">
        <f t="shared" si="5"/>
        <v>4800394</v>
      </c>
    </row>
    <row r="283" spans="1:6" x14ac:dyDescent="0.35">
      <c r="A283" s="10"/>
      <c r="B283" s="10" t="s">
        <v>299</v>
      </c>
      <c r="C283" s="10"/>
      <c r="D283" s="11"/>
      <c r="E283" s="11">
        <v>10000</v>
      </c>
      <c r="F283" s="11">
        <f t="shared" si="5"/>
        <v>4790394</v>
      </c>
    </row>
    <row r="284" spans="1:6" x14ac:dyDescent="0.35">
      <c r="A284" s="10"/>
      <c r="B284" s="14" t="s">
        <v>300</v>
      </c>
      <c r="C284" s="10"/>
      <c r="D284" s="11"/>
      <c r="E284" s="11">
        <v>1500000</v>
      </c>
      <c r="F284" s="11">
        <f t="shared" si="5"/>
        <v>3290394</v>
      </c>
    </row>
    <row r="285" spans="1:6" x14ac:dyDescent="0.35">
      <c r="A285" s="10"/>
      <c r="B285" s="14" t="s">
        <v>301</v>
      </c>
      <c r="C285" s="10"/>
      <c r="D285" s="11"/>
      <c r="E285" s="11">
        <v>650000</v>
      </c>
      <c r="F285" s="11">
        <f t="shared" si="5"/>
        <v>2640394</v>
      </c>
    </row>
    <row r="286" spans="1:6" x14ac:dyDescent="0.35">
      <c r="A286" s="10"/>
      <c r="B286" s="14" t="s">
        <v>302</v>
      </c>
      <c r="C286" s="10"/>
      <c r="D286" s="11"/>
      <c r="E286" s="11">
        <v>1000000</v>
      </c>
      <c r="F286" s="11">
        <f t="shared" si="5"/>
        <v>1640394</v>
      </c>
    </row>
    <row r="287" spans="1:6" x14ac:dyDescent="0.35">
      <c r="A287" s="10"/>
      <c r="B287" s="14" t="s">
        <v>303</v>
      </c>
      <c r="C287" s="10"/>
      <c r="D287" s="11"/>
      <c r="E287" s="11">
        <v>1000000</v>
      </c>
      <c r="F287" s="11">
        <f t="shared" si="5"/>
        <v>640394</v>
      </c>
    </row>
    <row r="288" spans="1:6" x14ac:dyDescent="0.35">
      <c r="A288" s="10"/>
      <c r="B288" s="14" t="s">
        <v>304</v>
      </c>
      <c r="C288" s="10"/>
      <c r="D288" s="11"/>
      <c r="E288" s="11">
        <v>200000</v>
      </c>
      <c r="F288" s="11">
        <f t="shared" si="5"/>
        <v>440394</v>
      </c>
    </row>
    <row r="289" spans="1:6" x14ac:dyDescent="0.35">
      <c r="A289" s="10"/>
      <c r="B289" s="14" t="s">
        <v>305</v>
      </c>
      <c r="C289" s="10"/>
      <c r="D289" s="11"/>
      <c r="E289" s="11">
        <v>200000</v>
      </c>
      <c r="F289" s="11">
        <f t="shared" si="5"/>
        <v>240394</v>
      </c>
    </row>
    <row r="290" spans="1:6" x14ac:dyDescent="0.35">
      <c r="A290" s="10"/>
      <c r="B290" s="14" t="s">
        <v>306</v>
      </c>
      <c r="C290" s="10"/>
      <c r="D290" s="11"/>
      <c r="E290" s="11">
        <v>35000</v>
      </c>
      <c r="F290" s="11">
        <f t="shared" si="5"/>
        <v>205394</v>
      </c>
    </row>
    <row r="291" spans="1:6" x14ac:dyDescent="0.35">
      <c r="A291" s="10"/>
      <c r="B291" s="14" t="s">
        <v>307</v>
      </c>
      <c r="C291" s="10"/>
      <c r="D291" s="11"/>
      <c r="E291" s="11">
        <v>35000</v>
      </c>
      <c r="F291" s="11">
        <f t="shared" si="5"/>
        <v>170394</v>
      </c>
    </row>
    <row r="292" spans="1:6" x14ac:dyDescent="0.35">
      <c r="A292" s="10"/>
      <c r="B292" s="14" t="s">
        <v>308</v>
      </c>
      <c r="C292" s="10"/>
      <c r="D292" s="11"/>
      <c r="E292" s="11">
        <v>35000</v>
      </c>
      <c r="F292" s="11">
        <f t="shared" si="5"/>
        <v>135394</v>
      </c>
    </row>
    <row r="293" spans="1:6" x14ac:dyDescent="0.35">
      <c r="A293" s="10"/>
      <c r="B293" s="14" t="s">
        <v>309</v>
      </c>
      <c r="C293" s="10"/>
      <c r="D293" s="11"/>
      <c r="E293" s="11">
        <v>50000</v>
      </c>
      <c r="F293" s="11">
        <f t="shared" si="5"/>
        <v>85394</v>
      </c>
    </row>
    <row r="294" spans="1:6" x14ac:dyDescent="0.35">
      <c r="A294" s="10"/>
      <c r="B294" s="14" t="s">
        <v>310</v>
      </c>
      <c r="C294" s="10"/>
      <c r="D294" s="11"/>
      <c r="E294" s="11">
        <v>80000</v>
      </c>
      <c r="F294" s="11">
        <f t="shared" si="5"/>
        <v>5394</v>
      </c>
    </row>
    <row r="295" spans="1:6" x14ac:dyDescent="0.35">
      <c r="A295" s="10"/>
      <c r="B295" s="14" t="s">
        <v>311</v>
      </c>
      <c r="C295" s="10"/>
      <c r="D295" s="11"/>
      <c r="E295" s="11">
        <v>250000</v>
      </c>
      <c r="F295" s="11">
        <f t="shared" si="5"/>
        <v>-244606</v>
      </c>
    </row>
    <row r="296" spans="1:6" x14ac:dyDescent="0.35">
      <c r="A296" s="10"/>
      <c r="B296" s="14" t="s">
        <v>44</v>
      </c>
      <c r="C296" s="10"/>
      <c r="D296" s="11"/>
      <c r="E296" s="11">
        <v>2300</v>
      </c>
      <c r="F296" s="11">
        <f t="shared" si="5"/>
        <v>-246906</v>
      </c>
    </row>
    <row r="297" spans="1:6" x14ac:dyDescent="0.35">
      <c r="A297" s="10"/>
      <c r="B297" s="10" t="s">
        <v>45</v>
      </c>
      <c r="C297" s="10"/>
      <c r="D297" s="11"/>
      <c r="E297" s="11">
        <v>17200</v>
      </c>
      <c r="F297" s="11">
        <f t="shared" si="5"/>
        <v>-264106</v>
      </c>
    </row>
    <row r="298" spans="1:6" x14ac:dyDescent="0.35">
      <c r="A298" s="10"/>
      <c r="B298" s="10" t="s">
        <v>163</v>
      </c>
      <c r="C298" s="10"/>
      <c r="D298" s="11"/>
      <c r="E298" s="11">
        <v>4900</v>
      </c>
      <c r="F298" s="11">
        <f t="shared" si="5"/>
        <v>-269006</v>
      </c>
    </row>
    <row r="299" spans="1:6" x14ac:dyDescent="0.35">
      <c r="A299" s="32" t="s">
        <v>547</v>
      </c>
      <c r="B299" s="32" t="s">
        <v>312</v>
      </c>
      <c r="C299" s="32"/>
      <c r="D299" s="33">
        <v>8620000</v>
      </c>
      <c r="E299" s="33"/>
      <c r="F299" s="33">
        <f t="shared" si="5"/>
        <v>8350994</v>
      </c>
    </row>
    <row r="300" spans="1:6" x14ac:dyDescent="0.35">
      <c r="A300" s="10"/>
      <c r="B300" s="10" t="s">
        <v>224</v>
      </c>
      <c r="C300" s="10"/>
      <c r="D300" s="11"/>
      <c r="E300" s="11">
        <v>8500000</v>
      </c>
      <c r="F300" s="11">
        <f t="shared" si="5"/>
        <v>-149006</v>
      </c>
    </row>
    <row r="301" spans="1:6" x14ac:dyDescent="0.35">
      <c r="A301" s="10"/>
      <c r="B301" s="10" t="s">
        <v>313</v>
      </c>
      <c r="C301" s="10"/>
      <c r="D301" s="11"/>
      <c r="E301" s="11">
        <v>100000</v>
      </c>
      <c r="F301" s="11">
        <f t="shared" si="5"/>
        <v>-249006</v>
      </c>
    </row>
    <row r="302" spans="1:6" x14ac:dyDescent="0.35">
      <c r="A302" s="10"/>
      <c r="B302" s="10" t="s">
        <v>13</v>
      </c>
      <c r="C302" s="10"/>
      <c r="D302" s="11"/>
      <c r="E302" s="11">
        <v>10000</v>
      </c>
      <c r="F302" s="11">
        <f t="shared" si="5"/>
        <v>-259006</v>
      </c>
    </row>
    <row r="303" spans="1:6" x14ac:dyDescent="0.35">
      <c r="A303" s="10"/>
      <c r="B303" s="10" t="s">
        <v>314</v>
      </c>
      <c r="C303" s="10"/>
      <c r="D303" s="11"/>
      <c r="E303" s="11">
        <v>10000</v>
      </c>
      <c r="F303" s="11">
        <f t="shared" si="5"/>
        <v>-269006</v>
      </c>
    </row>
    <row r="304" spans="1:6" x14ac:dyDescent="0.35">
      <c r="A304" s="10"/>
      <c r="B304" s="10" t="s">
        <v>163</v>
      </c>
      <c r="C304" s="10"/>
      <c r="D304" s="11"/>
      <c r="E304" s="11"/>
      <c r="F304" s="11">
        <f t="shared" si="5"/>
        <v>-269006</v>
      </c>
    </row>
    <row r="305" spans="1:6" x14ac:dyDescent="0.35">
      <c r="A305" s="32" t="s">
        <v>548</v>
      </c>
      <c r="B305" s="32" t="s">
        <v>315</v>
      </c>
      <c r="C305" s="32"/>
      <c r="D305" s="33">
        <v>11520000</v>
      </c>
      <c r="E305" s="33"/>
      <c r="F305" s="33">
        <f t="shared" si="5"/>
        <v>11250994</v>
      </c>
    </row>
    <row r="306" spans="1:6" x14ac:dyDescent="0.35">
      <c r="A306" s="10"/>
      <c r="B306" s="10" t="s">
        <v>316</v>
      </c>
      <c r="C306" s="10"/>
      <c r="D306" s="11"/>
      <c r="E306" s="11">
        <v>10800000</v>
      </c>
      <c r="F306" s="11">
        <f t="shared" si="5"/>
        <v>450994</v>
      </c>
    </row>
    <row r="307" spans="1:6" x14ac:dyDescent="0.35">
      <c r="A307" s="10"/>
      <c r="B307" s="10" t="s">
        <v>317</v>
      </c>
      <c r="C307" s="10"/>
      <c r="D307" s="11"/>
      <c r="E307" s="11">
        <v>10000</v>
      </c>
      <c r="F307" s="11">
        <f t="shared" si="5"/>
        <v>440994</v>
      </c>
    </row>
    <row r="308" spans="1:6" x14ac:dyDescent="0.35">
      <c r="A308" s="10"/>
      <c r="B308" s="10" t="s">
        <v>13</v>
      </c>
      <c r="C308" s="10"/>
      <c r="D308" s="11"/>
      <c r="E308" s="11">
        <v>15400</v>
      </c>
      <c r="F308" s="11">
        <f t="shared" si="5"/>
        <v>425594</v>
      </c>
    </row>
    <row r="309" spans="1:6" x14ac:dyDescent="0.35">
      <c r="A309" s="32" t="s">
        <v>549</v>
      </c>
      <c r="B309" s="32" t="s">
        <v>318</v>
      </c>
      <c r="C309" s="32"/>
      <c r="D309" s="33">
        <v>8570000</v>
      </c>
      <c r="E309" s="33"/>
      <c r="F309" s="33">
        <f t="shared" si="5"/>
        <v>8995594</v>
      </c>
    </row>
    <row r="310" spans="1:6" x14ac:dyDescent="0.35">
      <c r="A310" s="10"/>
      <c r="B310" s="10" t="s">
        <v>319</v>
      </c>
      <c r="C310" s="10"/>
      <c r="D310" s="11"/>
      <c r="E310" s="11">
        <v>8500000</v>
      </c>
      <c r="F310" s="11">
        <f t="shared" si="5"/>
        <v>495594</v>
      </c>
    </row>
    <row r="311" spans="1:6" x14ac:dyDescent="0.35">
      <c r="A311" s="10"/>
      <c r="B311" s="10" t="s">
        <v>320</v>
      </c>
      <c r="C311" s="10"/>
      <c r="D311" s="11"/>
      <c r="E311" s="11">
        <v>650000</v>
      </c>
      <c r="F311" s="11">
        <f t="shared" si="5"/>
        <v>-154406</v>
      </c>
    </row>
    <row r="312" spans="1:6" x14ac:dyDescent="0.35">
      <c r="A312" s="10"/>
      <c r="B312" s="10" t="s">
        <v>321</v>
      </c>
      <c r="C312" s="10"/>
      <c r="D312" s="11"/>
      <c r="E312" s="11">
        <v>100000</v>
      </c>
      <c r="F312" s="11">
        <f t="shared" si="5"/>
        <v>-254406</v>
      </c>
    </row>
    <row r="313" spans="1:6" x14ac:dyDescent="0.35">
      <c r="A313" s="10"/>
      <c r="B313" s="10" t="s">
        <v>322</v>
      </c>
      <c r="C313" s="10"/>
      <c r="D313" s="11"/>
      <c r="E313" s="11">
        <v>12200</v>
      </c>
      <c r="F313" s="11">
        <f t="shared" si="5"/>
        <v>-266606</v>
      </c>
    </row>
    <row r="314" spans="1:6" x14ac:dyDescent="0.35">
      <c r="A314" s="32" t="s">
        <v>550</v>
      </c>
      <c r="B314" s="32" t="s">
        <v>323</v>
      </c>
      <c r="C314" s="32"/>
      <c r="D314" s="33">
        <v>1780000</v>
      </c>
      <c r="E314" s="33"/>
      <c r="F314" s="33">
        <f t="shared" si="5"/>
        <v>1513394</v>
      </c>
    </row>
    <row r="315" spans="1:6" x14ac:dyDescent="0.35">
      <c r="A315" s="10"/>
      <c r="B315" s="10" t="s">
        <v>324</v>
      </c>
      <c r="C315" s="10"/>
      <c r="D315" s="11"/>
      <c r="E315" s="11">
        <v>1710000</v>
      </c>
      <c r="F315" s="11">
        <f t="shared" si="5"/>
        <v>-196606</v>
      </c>
    </row>
    <row r="316" spans="1:6" x14ac:dyDescent="0.35">
      <c r="A316" s="10"/>
      <c r="B316" s="10" t="s">
        <v>325</v>
      </c>
      <c r="C316" s="10"/>
      <c r="D316" s="11"/>
      <c r="E316" s="11">
        <v>70000</v>
      </c>
      <c r="F316" s="11">
        <f>F315+D316-E316</f>
        <v>-266606</v>
      </c>
    </row>
    <row r="317" spans="1:6" x14ac:dyDescent="0.35">
      <c r="A317" s="32" t="s">
        <v>551</v>
      </c>
      <c r="B317" s="32" t="s">
        <v>326</v>
      </c>
      <c r="C317" s="32"/>
      <c r="D317" s="33">
        <v>350000</v>
      </c>
      <c r="E317" s="33"/>
      <c r="F317" s="33">
        <f t="shared" si="5"/>
        <v>83394</v>
      </c>
    </row>
    <row r="318" spans="1:6" x14ac:dyDescent="0.35">
      <c r="A318" s="10"/>
      <c r="B318" s="10" t="s">
        <v>327</v>
      </c>
      <c r="C318" s="10"/>
      <c r="D318" s="11"/>
      <c r="E318" s="11">
        <v>250000</v>
      </c>
      <c r="F318" s="11">
        <f t="shared" si="5"/>
        <v>-166606</v>
      </c>
    </row>
    <row r="319" spans="1:6" x14ac:dyDescent="0.35">
      <c r="A319" s="10"/>
      <c r="B319" s="10" t="s">
        <v>328</v>
      </c>
      <c r="C319" s="10"/>
      <c r="D319" s="11"/>
      <c r="E319" s="11">
        <v>70000</v>
      </c>
      <c r="F319" s="11">
        <f t="shared" si="5"/>
        <v>-236606</v>
      </c>
    </row>
    <row r="320" spans="1:6" x14ac:dyDescent="0.35">
      <c r="A320" s="10"/>
      <c r="B320" s="10" t="s">
        <v>45</v>
      </c>
      <c r="C320" s="10"/>
      <c r="D320" s="11"/>
      <c r="E320" s="11">
        <v>8700</v>
      </c>
      <c r="F320" s="11">
        <f t="shared" si="5"/>
        <v>-245306</v>
      </c>
    </row>
    <row r="321" spans="1:6" x14ac:dyDescent="0.35">
      <c r="A321" s="10"/>
      <c r="B321" s="10" t="s">
        <v>329</v>
      </c>
      <c r="C321" s="10"/>
      <c r="D321" s="11"/>
      <c r="E321" s="11">
        <v>10000</v>
      </c>
      <c r="F321" s="11">
        <f t="shared" si="5"/>
        <v>-255306</v>
      </c>
    </row>
    <row r="322" spans="1:6" x14ac:dyDescent="0.35">
      <c r="A322" s="10"/>
      <c r="B322" s="10" t="s">
        <v>330</v>
      </c>
      <c r="C322" s="10"/>
      <c r="D322" s="11"/>
      <c r="E322" s="11">
        <v>600</v>
      </c>
      <c r="F322" s="11">
        <f t="shared" si="5"/>
        <v>-255906</v>
      </c>
    </row>
    <row r="323" spans="1:6" x14ac:dyDescent="0.35">
      <c r="A323" s="10"/>
      <c r="B323" s="10" t="s">
        <v>331</v>
      </c>
      <c r="C323" s="10"/>
      <c r="D323" s="11">
        <v>3000</v>
      </c>
      <c r="E323" s="11"/>
      <c r="F323" s="11">
        <f t="shared" si="5"/>
        <v>-252906</v>
      </c>
    </row>
    <row r="324" spans="1:6" x14ac:dyDescent="0.35">
      <c r="A324" s="10"/>
      <c r="B324" s="10" t="s">
        <v>332</v>
      </c>
      <c r="C324" s="10"/>
      <c r="D324" s="11"/>
      <c r="E324" s="11">
        <v>20000</v>
      </c>
      <c r="F324" s="11">
        <f t="shared" si="5"/>
        <v>-272906</v>
      </c>
    </row>
    <row r="325" spans="1:6" x14ac:dyDescent="0.35">
      <c r="A325" s="10"/>
      <c r="B325" s="10" t="s">
        <v>330</v>
      </c>
      <c r="C325" s="10"/>
      <c r="D325" s="11"/>
      <c r="E325" s="11">
        <v>300</v>
      </c>
      <c r="F325" s="11">
        <f t="shared" si="5"/>
        <v>-273206</v>
      </c>
    </row>
    <row r="326" spans="1:6" x14ac:dyDescent="0.35">
      <c r="A326" s="59">
        <v>45696</v>
      </c>
      <c r="B326" s="32" t="s">
        <v>333</v>
      </c>
      <c r="C326" s="32"/>
      <c r="D326" s="33">
        <v>5100000</v>
      </c>
      <c r="E326" s="33"/>
      <c r="F326" s="33">
        <f t="shared" si="5"/>
        <v>4826794</v>
      </c>
    </row>
    <row r="327" spans="1:6" x14ac:dyDescent="0.35">
      <c r="A327" s="10"/>
      <c r="B327" s="10" t="s">
        <v>334</v>
      </c>
      <c r="C327" s="10"/>
      <c r="D327" s="11">
        <v>10000</v>
      </c>
      <c r="E327" s="11"/>
      <c r="F327" s="11">
        <f t="shared" si="5"/>
        <v>4836794</v>
      </c>
    </row>
    <row r="328" spans="1:6" x14ac:dyDescent="0.35">
      <c r="A328" s="10"/>
      <c r="B328" s="10" t="s">
        <v>335</v>
      </c>
      <c r="C328" s="10"/>
      <c r="D328" s="11"/>
      <c r="E328" s="11">
        <v>5100000</v>
      </c>
      <c r="F328" s="11">
        <f t="shared" si="5"/>
        <v>-263206</v>
      </c>
    </row>
    <row r="329" spans="1:6" x14ac:dyDescent="0.35">
      <c r="A329" s="10"/>
      <c r="B329" s="10" t="s">
        <v>163</v>
      </c>
      <c r="C329" s="10"/>
      <c r="D329" s="11"/>
      <c r="E329" s="11">
        <v>3212.5</v>
      </c>
      <c r="F329" s="11">
        <f t="shared" si="5"/>
        <v>-266418.5</v>
      </c>
    </row>
    <row r="330" spans="1:6" x14ac:dyDescent="0.35">
      <c r="A330" s="59">
        <v>45846</v>
      </c>
      <c r="B330" s="32" t="s">
        <v>336</v>
      </c>
      <c r="C330" s="32"/>
      <c r="D330" s="33">
        <v>7836500</v>
      </c>
      <c r="E330" s="33"/>
      <c r="F330" s="33">
        <f t="shared" si="5"/>
        <v>7570081.5</v>
      </c>
    </row>
    <row r="331" spans="1:6" x14ac:dyDescent="0.35">
      <c r="A331" s="10"/>
      <c r="B331" s="10" t="s">
        <v>337</v>
      </c>
      <c r="C331" s="10"/>
      <c r="D331" s="11"/>
      <c r="E331" s="11">
        <v>50000</v>
      </c>
      <c r="F331" s="11">
        <f t="shared" si="5"/>
        <v>7520081.5</v>
      </c>
    </row>
    <row r="332" spans="1:6" x14ac:dyDescent="0.35">
      <c r="A332" s="10"/>
      <c r="B332" s="10" t="s">
        <v>338</v>
      </c>
      <c r="C332" s="10"/>
      <c r="D332" s="11"/>
      <c r="E332" s="11">
        <v>700000</v>
      </c>
      <c r="F332" s="11">
        <f t="shared" si="5"/>
        <v>6820081.5</v>
      </c>
    </row>
    <row r="333" spans="1:6" x14ac:dyDescent="0.35">
      <c r="A333" s="10"/>
      <c r="B333" s="10" t="s">
        <v>7</v>
      </c>
      <c r="C333" s="10"/>
      <c r="D333" s="11"/>
      <c r="E333" s="11">
        <v>10000</v>
      </c>
      <c r="F333" s="11">
        <f t="shared" si="5"/>
        <v>6810081.5</v>
      </c>
    </row>
    <row r="334" spans="1:6" x14ac:dyDescent="0.35">
      <c r="A334" s="10"/>
      <c r="B334" s="10" t="s">
        <v>292</v>
      </c>
      <c r="C334" s="10"/>
      <c r="D334" s="11"/>
      <c r="E334" s="11">
        <v>20000</v>
      </c>
      <c r="F334" s="11">
        <f t="shared" si="5"/>
        <v>6790081.5</v>
      </c>
    </row>
    <row r="335" spans="1:6" x14ac:dyDescent="0.35">
      <c r="A335" s="10"/>
      <c r="B335" s="10" t="s">
        <v>293</v>
      </c>
      <c r="C335" s="10"/>
      <c r="D335" s="11"/>
      <c r="E335" s="11">
        <v>20000</v>
      </c>
      <c r="F335" s="11">
        <f t="shared" si="5"/>
        <v>6770081.5</v>
      </c>
    </row>
    <row r="336" spans="1:6" x14ac:dyDescent="0.35">
      <c r="A336" s="10"/>
      <c r="B336" s="10" t="s">
        <v>295</v>
      </c>
      <c r="C336" s="10"/>
      <c r="D336" s="11"/>
      <c r="E336" s="11">
        <v>5000</v>
      </c>
      <c r="F336" s="11">
        <f t="shared" si="5"/>
        <v>6765081.5</v>
      </c>
    </row>
    <row r="337" spans="1:6" x14ac:dyDescent="0.35">
      <c r="A337" s="10"/>
      <c r="B337" s="10" t="s">
        <v>339</v>
      </c>
      <c r="C337" s="10"/>
      <c r="D337" s="11"/>
      <c r="E337" s="11">
        <v>20000</v>
      </c>
      <c r="F337" s="11">
        <f t="shared" ref="F337:F400" si="6">F336+D337-E337</f>
        <v>6745081.5</v>
      </c>
    </row>
    <row r="338" spans="1:6" x14ac:dyDescent="0.35">
      <c r="A338" s="10"/>
      <c r="B338" s="10" t="s">
        <v>340</v>
      </c>
      <c r="C338" s="10"/>
      <c r="D338" s="11"/>
      <c r="E338" s="11">
        <v>710000</v>
      </c>
      <c r="F338" s="11">
        <f t="shared" si="6"/>
        <v>6035081.5</v>
      </c>
    </row>
    <row r="339" spans="1:6" x14ac:dyDescent="0.35">
      <c r="A339" s="10"/>
      <c r="B339" s="10" t="s">
        <v>341</v>
      </c>
      <c r="C339" s="10"/>
      <c r="D339" s="11"/>
      <c r="E339" s="11">
        <v>20000</v>
      </c>
      <c r="F339" s="11">
        <f t="shared" si="6"/>
        <v>6015081.5</v>
      </c>
    </row>
    <row r="340" spans="1:6" x14ac:dyDescent="0.35">
      <c r="A340" s="10"/>
      <c r="B340" s="10" t="s">
        <v>342</v>
      </c>
      <c r="C340" s="10"/>
      <c r="D340" s="11"/>
      <c r="E340" s="11">
        <v>600000</v>
      </c>
      <c r="F340" s="11">
        <f t="shared" si="6"/>
        <v>5415081.5</v>
      </c>
    </row>
    <row r="341" spans="1:6" x14ac:dyDescent="0.35">
      <c r="A341" s="10"/>
      <c r="B341" s="10" t="s">
        <v>343</v>
      </c>
      <c r="C341" s="10"/>
      <c r="D341" s="11"/>
      <c r="E341" s="11">
        <v>150000</v>
      </c>
      <c r="F341" s="11">
        <f t="shared" si="6"/>
        <v>5265081.5</v>
      </c>
    </row>
    <row r="342" spans="1:6" x14ac:dyDescent="0.35">
      <c r="A342" s="10"/>
      <c r="B342" s="10" t="s">
        <v>344</v>
      </c>
      <c r="C342" s="10"/>
      <c r="D342" s="11"/>
      <c r="E342" s="11">
        <v>5000</v>
      </c>
      <c r="F342" s="11">
        <f t="shared" si="6"/>
        <v>5260081.5</v>
      </c>
    </row>
    <row r="343" spans="1:6" x14ac:dyDescent="0.35">
      <c r="A343" s="10"/>
      <c r="B343" s="10" t="s">
        <v>345</v>
      </c>
      <c r="C343" s="10"/>
      <c r="D343" s="11"/>
      <c r="E343" s="11">
        <v>222000</v>
      </c>
      <c r="F343" s="11">
        <f t="shared" si="6"/>
        <v>5038081.5</v>
      </c>
    </row>
    <row r="344" spans="1:6" x14ac:dyDescent="0.35">
      <c r="A344" s="10"/>
      <c r="B344" s="10" t="s">
        <v>278</v>
      </c>
      <c r="C344" s="10"/>
      <c r="D344" s="11"/>
      <c r="E344" s="11">
        <v>30000</v>
      </c>
      <c r="F344" s="11">
        <f t="shared" si="6"/>
        <v>5008081.5</v>
      </c>
    </row>
    <row r="345" spans="1:6" x14ac:dyDescent="0.35">
      <c r="A345" s="10"/>
      <c r="B345" s="10" t="s">
        <v>346</v>
      </c>
      <c r="C345" s="10"/>
      <c r="D345" s="11"/>
      <c r="E345" s="11">
        <v>10000</v>
      </c>
      <c r="F345" s="11">
        <f t="shared" si="6"/>
        <v>4998081.5</v>
      </c>
    </row>
    <row r="346" spans="1:6" x14ac:dyDescent="0.35">
      <c r="A346" s="10"/>
      <c r="B346" s="10" t="s">
        <v>347</v>
      </c>
      <c r="C346" s="10"/>
      <c r="D346" s="11"/>
      <c r="E346" s="11">
        <v>210000</v>
      </c>
      <c r="F346" s="11">
        <f t="shared" si="6"/>
        <v>4788081.5</v>
      </c>
    </row>
    <row r="347" spans="1:6" x14ac:dyDescent="0.35">
      <c r="A347" s="10"/>
      <c r="B347" s="14" t="s">
        <v>348</v>
      </c>
      <c r="C347" s="10"/>
      <c r="D347" s="11"/>
      <c r="E347" s="11">
        <v>1500000</v>
      </c>
      <c r="F347" s="11">
        <f t="shared" si="6"/>
        <v>3288081.5</v>
      </c>
    </row>
    <row r="348" spans="1:6" x14ac:dyDescent="0.35">
      <c r="A348" s="10"/>
      <c r="B348" s="14" t="s">
        <v>349</v>
      </c>
      <c r="C348" s="10"/>
      <c r="D348" s="11"/>
      <c r="E348" s="11">
        <v>650000</v>
      </c>
      <c r="F348" s="11">
        <f t="shared" si="6"/>
        <v>2638081.5</v>
      </c>
    </row>
    <row r="349" spans="1:6" x14ac:dyDescent="0.35">
      <c r="A349" s="10"/>
      <c r="B349" s="14" t="s">
        <v>350</v>
      </c>
      <c r="C349" s="10"/>
      <c r="D349" s="11"/>
      <c r="E349" s="11">
        <v>1000000</v>
      </c>
      <c r="F349" s="11">
        <f t="shared" si="6"/>
        <v>1638081.5</v>
      </c>
    </row>
    <row r="350" spans="1:6" x14ac:dyDescent="0.35">
      <c r="A350" s="10"/>
      <c r="B350" s="14" t="s">
        <v>351</v>
      </c>
      <c r="C350" s="10"/>
      <c r="D350" s="11"/>
      <c r="E350" s="11">
        <v>1000000</v>
      </c>
      <c r="F350" s="11">
        <f t="shared" si="6"/>
        <v>638081.5</v>
      </c>
    </row>
    <row r="351" spans="1:6" x14ac:dyDescent="0.35">
      <c r="A351" s="10"/>
      <c r="B351" s="14" t="s">
        <v>352</v>
      </c>
      <c r="C351" s="10"/>
      <c r="D351" s="11"/>
      <c r="E351" s="11">
        <v>200000</v>
      </c>
      <c r="F351" s="11">
        <f t="shared" si="6"/>
        <v>438081.5</v>
      </c>
    </row>
    <row r="352" spans="1:6" x14ac:dyDescent="0.35">
      <c r="A352" s="10"/>
      <c r="B352" s="14" t="s">
        <v>353</v>
      </c>
      <c r="C352" s="10"/>
      <c r="D352" s="11"/>
      <c r="E352" s="11">
        <v>200000</v>
      </c>
      <c r="F352" s="11">
        <f t="shared" si="6"/>
        <v>238081.5</v>
      </c>
    </row>
    <row r="353" spans="1:6" x14ac:dyDescent="0.35">
      <c r="A353" s="10"/>
      <c r="B353" s="14" t="s">
        <v>354</v>
      </c>
      <c r="C353" s="10"/>
      <c r="D353" s="11"/>
      <c r="E353" s="11">
        <v>35000</v>
      </c>
      <c r="F353" s="11">
        <f t="shared" si="6"/>
        <v>203081.5</v>
      </c>
    </row>
    <row r="354" spans="1:6" x14ac:dyDescent="0.35">
      <c r="A354" s="10"/>
      <c r="B354" s="14" t="s">
        <v>355</v>
      </c>
      <c r="C354" s="10"/>
      <c r="D354" s="11"/>
      <c r="E354" s="11">
        <v>35000</v>
      </c>
      <c r="F354" s="11">
        <f t="shared" si="6"/>
        <v>168081.5</v>
      </c>
    </row>
    <row r="355" spans="1:6" x14ac:dyDescent="0.35">
      <c r="A355" s="10"/>
      <c r="B355" s="14" t="s">
        <v>356</v>
      </c>
      <c r="C355" s="10"/>
      <c r="D355" s="11"/>
      <c r="E355" s="11">
        <v>35000</v>
      </c>
      <c r="F355" s="11">
        <f t="shared" si="6"/>
        <v>133081.5</v>
      </c>
    </row>
    <row r="356" spans="1:6" x14ac:dyDescent="0.35">
      <c r="A356" s="10"/>
      <c r="B356" s="14" t="s">
        <v>357</v>
      </c>
      <c r="C356" s="10"/>
      <c r="D356" s="11"/>
      <c r="E356" s="11">
        <v>50000</v>
      </c>
      <c r="F356" s="11">
        <f t="shared" si="6"/>
        <v>83081.5</v>
      </c>
    </row>
    <row r="357" spans="1:6" x14ac:dyDescent="0.35">
      <c r="A357" s="10"/>
      <c r="B357" s="14" t="s">
        <v>358</v>
      </c>
      <c r="C357" s="10"/>
      <c r="D357" s="11"/>
      <c r="E357" s="11">
        <v>80000</v>
      </c>
      <c r="F357" s="11">
        <f t="shared" si="6"/>
        <v>3081.5</v>
      </c>
    </row>
    <row r="358" spans="1:6" x14ac:dyDescent="0.35">
      <c r="A358" s="10"/>
      <c r="B358" s="14" t="s">
        <v>359</v>
      </c>
      <c r="C358" s="10"/>
      <c r="D358" s="11"/>
      <c r="E358" s="11">
        <v>250000</v>
      </c>
      <c r="F358" s="11">
        <f t="shared" si="6"/>
        <v>-246918.5</v>
      </c>
    </row>
    <row r="359" spans="1:6" x14ac:dyDescent="0.35">
      <c r="A359" s="10"/>
      <c r="B359" s="14" t="s">
        <v>44</v>
      </c>
      <c r="C359" s="10"/>
      <c r="D359" s="11"/>
      <c r="E359" s="11">
        <v>2300</v>
      </c>
      <c r="F359" s="11">
        <f t="shared" si="6"/>
        <v>-249218.5</v>
      </c>
    </row>
    <row r="360" spans="1:6" x14ac:dyDescent="0.35">
      <c r="A360" s="10"/>
      <c r="B360" s="10" t="s">
        <v>45</v>
      </c>
      <c r="C360" s="10"/>
      <c r="D360" s="11"/>
      <c r="E360" s="11">
        <v>17200</v>
      </c>
      <c r="F360" s="11">
        <f t="shared" si="6"/>
        <v>-266418.5</v>
      </c>
    </row>
    <row r="361" spans="1:6" x14ac:dyDescent="0.35">
      <c r="A361" s="10"/>
      <c r="B361" s="10" t="s">
        <v>13</v>
      </c>
      <c r="C361" s="10"/>
      <c r="D361" s="11"/>
      <c r="E361" s="11">
        <v>5800</v>
      </c>
      <c r="F361" s="11">
        <f t="shared" si="6"/>
        <v>-272218.5</v>
      </c>
    </row>
    <row r="362" spans="1:6" x14ac:dyDescent="0.35">
      <c r="A362" s="35"/>
      <c r="B362" s="35" t="s">
        <v>360</v>
      </c>
      <c r="C362" s="35"/>
      <c r="D362" s="36">
        <v>8270000</v>
      </c>
      <c r="E362" s="36"/>
      <c r="F362" s="36">
        <f t="shared" si="6"/>
        <v>7997781.5</v>
      </c>
    </row>
    <row r="363" spans="1:6" x14ac:dyDescent="0.35">
      <c r="A363" s="10" t="s">
        <v>552</v>
      </c>
      <c r="B363" s="10" t="s">
        <v>361</v>
      </c>
      <c r="C363" s="37"/>
      <c r="D363" s="38"/>
      <c r="E363" s="38">
        <v>8200000</v>
      </c>
      <c r="F363" s="38">
        <f t="shared" si="6"/>
        <v>-202218.5</v>
      </c>
    </row>
    <row r="364" spans="1:6" x14ac:dyDescent="0.35">
      <c r="A364" s="10"/>
      <c r="B364" s="10" t="s">
        <v>362</v>
      </c>
      <c r="C364" s="10"/>
      <c r="D364" s="11"/>
      <c r="E364" s="11">
        <v>40000</v>
      </c>
      <c r="F364" s="11">
        <f t="shared" si="6"/>
        <v>-242218.5</v>
      </c>
    </row>
    <row r="365" spans="1:6" x14ac:dyDescent="0.35">
      <c r="A365" s="10"/>
      <c r="B365" s="10" t="s">
        <v>363</v>
      </c>
      <c r="C365" s="10"/>
      <c r="D365" s="11"/>
      <c r="E365" s="11">
        <v>10000</v>
      </c>
      <c r="F365" s="11">
        <f t="shared" si="6"/>
        <v>-252218.5</v>
      </c>
    </row>
    <row r="366" spans="1:6" x14ac:dyDescent="0.35">
      <c r="A366" s="10"/>
      <c r="B366" s="10" t="s">
        <v>13</v>
      </c>
      <c r="C366" s="10"/>
      <c r="D366" s="11"/>
      <c r="E366" s="11">
        <v>11100</v>
      </c>
      <c r="F366" s="11">
        <f t="shared" si="6"/>
        <v>-263318.5</v>
      </c>
    </row>
    <row r="367" spans="1:6" x14ac:dyDescent="0.35">
      <c r="A367" s="32" t="s">
        <v>553</v>
      </c>
      <c r="B367" s="32" t="s">
        <v>326</v>
      </c>
      <c r="C367" s="32"/>
      <c r="D367" s="33">
        <v>1100000</v>
      </c>
      <c r="E367" s="33"/>
      <c r="F367" s="33">
        <f t="shared" si="6"/>
        <v>836681.5</v>
      </c>
    </row>
    <row r="368" spans="1:6" x14ac:dyDescent="0.35">
      <c r="A368" s="10"/>
      <c r="B368" s="10" t="s">
        <v>364</v>
      </c>
      <c r="C368" s="10"/>
      <c r="D368" s="11"/>
      <c r="E368" s="11">
        <v>1000000</v>
      </c>
      <c r="F368" s="11">
        <f t="shared" si="6"/>
        <v>-163318.5</v>
      </c>
    </row>
    <row r="369" spans="1:6" x14ac:dyDescent="0.35">
      <c r="A369" s="10"/>
      <c r="B369" s="10" t="s">
        <v>163</v>
      </c>
      <c r="C369" s="10"/>
      <c r="D369" s="11"/>
      <c r="E369" s="11">
        <v>1000</v>
      </c>
      <c r="F369" s="11">
        <f t="shared" si="6"/>
        <v>-164318.5</v>
      </c>
    </row>
    <row r="370" spans="1:6" x14ac:dyDescent="0.35">
      <c r="A370" s="32" t="s">
        <v>554</v>
      </c>
      <c r="B370" s="32" t="s">
        <v>365</v>
      </c>
      <c r="C370" s="32"/>
      <c r="D370" s="33">
        <v>8760000</v>
      </c>
      <c r="E370" s="33"/>
      <c r="F370" s="33">
        <f t="shared" si="6"/>
        <v>8595681.5</v>
      </c>
    </row>
    <row r="371" spans="1:6" x14ac:dyDescent="0.35">
      <c r="A371" s="10"/>
      <c r="B371" s="10" t="s">
        <v>281</v>
      </c>
      <c r="C371" s="10"/>
      <c r="D371" s="11"/>
      <c r="E371" s="11">
        <v>8100000</v>
      </c>
      <c r="F371" s="11">
        <f t="shared" si="6"/>
        <v>495681.5</v>
      </c>
    </row>
    <row r="372" spans="1:6" x14ac:dyDescent="0.35">
      <c r="A372" s="10"/>
      <c r="B372" s="10" t="s">
        <v>366</v>
      </c>
      <c r="C372" s="10"/>
      <c r="D372" s="11"/>
      <c r="E372" s="11">
        <v>500000</v>
      </c>
      <c r="F372" s="11">
        <f t="shared" si="6"/>
        <v>-4318.5</v>
      </c>
    </row>
    <row r="373" spans="1:6" x14ac:dyDescent="0.35">
      <c r="A373" s="10"/>
      <c r="B373" s="10" t="s">
        <v>367</v>
      </c>
      <c r="C373" s="10"/>
      <c r="D373" s="11"/>
      <c r="E373" s="11">
        <v>100000</v>
      </c>
      <c r="F373" s="11">
        <f t="shared" si="6"/>
        <v>-104318.5</v>
      </c>
    </row>
    <row r="374" spans="1:6" x14ac:dyDescent="0.35">
      <c r="A374" s="10"/>
      <c r="B374" s="10" t="s">
        <v>368</v>
      </c>
      <c r="C374" s="10"/>
      <c r="D374" s="11"/>
      <c r="E374" s="11">
        <v>50000</v>
      </c>
      <c r="F374" s="11">
        <f t="shared" si="6"/>
        <v>-154318.5</v>
      </c>
    </row>
    <row r="375" spans="1:6" x14ac:dyDescent="0.35">
      <c r="A375" s="10"/>
      <c r="B375" s="10" t="s">
        <v>317</v>
      </c>
      <c r="C375" s="10"/>
      <c r="D375" s="11"/>
      <c r="E375" s="11">
        <v>10000</v>
      </c>
      <c r="F375" s="11">
        <f t="shared" si="6"/>
        <v>-164318.5</v>
      </c>
    </row>
    <row r="376" spans="1:6" x14ac:dyDescent="0.35">
      <c r="A376" s="10"/>
      <c r="B376" s="10" t="s">
        <v>163</v>
      </c>
      <c r="C376" s="10"/>
      <c r="D376" s="11"/>
      <c r="E376" s="11">
        <v>11000</v>
      </c>
      <c r="F376" s="11">
        <f t="shared" si="6"/>
        <v>-175318.5</v>
      </c>
    </row>
    <row r="377" spans="1:6" x14ac:dyDescent="0.35">
      <c r="A377" s="32" t="s">
        <v>555</v>
      </c>
      <c r="B377" s="32" t="s">
        <v>369</v>
      </c>
      <c r="C377" s="32"/>
      <c r="D377" s="33">
        <v>5649500</v>
      </c>
      <c r="E377" s="33"/>
      <c r="F377" s="33">
        <f t="shared" si="6"/>
        <v>5474181.5</v>
      </c>
    </row>
    <row r="378" spans="1:6" x14ac:dyDescent="0.35">
      <c r="A378" s="10"/>
      <c r="B378" s="14" t="s">
        <v>348</v>
      </c>
      <c r="C378" s="10"/>
      <c r="D378" s="11"/>
      <c r="E378" s="11">
        <v>1500000</v>
      </c>
      <c r="F378" s="11">
        <f t="shared" si="6"/>
        <v>3974181.5</v>
      </c>
    </row>
    <row r="379" spans="1:6" x14ac:dyDescent="0.35">
      <c r="A379" s="10"/>
      <c r="B379" s="14" t="s">
        <v>370</v>
      </c>
      <c r="C379" s="10"/>
      <c r="D379" s="11"/>
      <c r="E379" s="11">
        <v>650000</v>
      </c>
      <c r="F379" s="11">
        <f t="shared" si="6"/>
        <v>3324181.5</v>
      </c>
    </row>
    <row r="380" spans="1:6" x14ac:dyDescent="0.35">
      <c r="A380" s="10"/>
      <c r="B380" s="14" t="s">
        <v>371</v>
      </c>
      <c r="C380" s="10"/>
      <c r="D380" s="11"/>
      <c r="E380" s="11">
        <v>1000000</v>
      </c>
      <c r="F380" s="11">
        <f t="shared" si="6"/>
        <v>2324181.5</v>
      </c>
    </row>
    <row r="381" spans="1:6" x14ac:dyDescent="0.35">
      <c r="A381" s="10"/>
      <c r="B381" s="14" t="s">
        <v>372</v>
      </c>
      <c r="C381" s="10"/>
      <c r="D381" s="11"/>
      <c r="E381" s="11">
        <v>1000000</v>
      </c>
      <c r="F381" s="11">
        <f t="shared" si="6"/>
        <v>1324181.5</v>
      </c>
    </row>
    <row r="382" spans="1:6" x14ac:dyDescent="0.35">
      <c r="A382" s="10"/>
      <c r="B382" s="14" t="s">
        <v>373</v>
      </c>
      <c r="C382" s="10"/>
      <c r="D382" s="11"/>
      <c r="E382" s="11">
        <v>80000</v>
      </c>
      <c r="F382" s="11">
        <f t="shared" si="6"/>
        <v>1244181.5</v>
      </c>
    </row>
    <row r="383" spans="1:6" x14ac:dyDescent="0.35">
      <c r="A383" s="10"/>
      <c r="B383" s="10" t="s">
        <v>374</v>
      </c>
      <c r="C383" s="10"/>
      <c r="D383" s="11"/>
      <c r="E383" s="11">
        <v>350000</v>
      </c>
      <c r="F383" s="11">
        <f t="shared" si="6"/>
        <v>894181.5</v>
      </c>
    </row>
    <row r="384" spans="1:6" x14ac:dyDescent="0.35">
      <c r="A384" s="10"/>
      <c r="B384" s="10" t="s">
        <v>375</v>
      </c>
      <c r="C384" s="10"/>
      <c r="D384" s="11"/>
      <c r="E384" s="11">
        <v>800000</v>
      </c>
      <c r="F384" s="11">
        <f t="shared" si="6"/>
        <v>94181.5</v>
      </c>
    </row>
    <row r="385" spans="1:6" x14ac:dyDescent="0.35">
      <c r="A385" s="10"/>
      <c r="B385" s="10" t="s">
        <v>43</v>
      </c>
      <c r="C385" s="10"/>
      <c r="D385" s="11"/>
      <c r="E385" s="11">
        <v>250000</v>
      </c>
      <c r="F385" s="11">
        <f t="shared" si="6"/>
        <v>-155818.5</v>
      </c>
    </row>
    <row r="386" spans="1:6" x14ac:dyDescent="0.35">
      <c r="A386" s="10"/>
      <c r="B386" s="10" t="s">
        <v>376</v>
      </c>
      <c r="C386" s="10"/>
      <c r="D386" s="11"/>
      <c r="E386" s="11">
        <v>19500</v>
      </c>
      <c r="F386" s="11">
        <f t="shared" si="6"/>
        <v>-175318.5</v>
      </c>
    </row>
    <row r="387" spans="1:6" x14ac:dyDescent="0.35">
      <c r="A387" s="10"/>
      <c r="B387" s="10" t="s">
        <v>13</v>
      </c>
      <c r="C387" s="10"/>
      <c r="D387" s="11"/>
      <c r="E387" s="11">
        <v>5600</v>
      </c>
      <c r="F387" s="11">
        <f t="shared" si="6"/>
        <v>-180918.5</v>
      </c>
    </row>
    <row r="388" spans="1:6" x14ac:dyDescent="0.35">
      <c r="A388" s="59">
        <v>45786</v>
      </c>
      <c r="B388" s="32" t="s">
        <v>377</v>
      </c>
      <c r="C388" s="32"/>
      <c r="D388" s="33">
        <v>5871000</v>
      </c>
      <c r="E388" s="33"/>
      <c r="F388" s="33">
        <f t="shared" si="6"/>
        <v>5690081.5</v>
      </c>
    </row>
    <row r="389" spans="1:6" x14ac:dyDescent="0.35">
      <c r="A389" s="10"/>
      <c r="B389" s="10" t="s">
        <v>361</v>
      </c>
      <c r="C389" s="10"/>
      <c r="D389" s="11"/>
      <c r="E389" s="11">
        <v>5800000</v>
      </c>
      <c r="F389" s="11">
        <f t="shared" si="6"/>
        <v>-109918.5</v>
      </c>
    </row>
    <row r="390" spans="1:6" x14ac:dyDescent="0.35">
      <c r="A390" s="10"/>
      <c r="B390" s="10" t="s">
        <v>314</v>
      </c>
      <c r="C390" s="10"/>
      <c r="D390" s="11"/>
      <c r="E390" s="11">
        <v>10000</v>
      </c>
      <c r="F390" s="11">
        <f t="shared" si="6"/>
        <v>-119918.5</v>
      </c>
    </row>
    <row r="391" spans="1:6" x14ac:dyDescent="0.35">
      <c r="A391" s="10"/>
      <c r="B391" s="10" t="s">
        <v>378</v>
      </c>
      <c r="C391" s="10"/>
      <c r="D391" s="11"/>
      <c r="E391" s="11">
        <v>35000</v>
      </c>
      <c r="F391" s="11">
        <f t="shared" si="6"/>
        <v>-154918.5</v>
      </c>
    </row>
    <row r="392" spans="1:6" x14ac:dyDescent="0.35">
      <c r="A392" s="10"/>
      <c r="B392" s="10" t="s">
        <v>379</v>
      </c>
      <c r="C392" s="10"/>
      <c r="D392" s="11"/>
      <c r="E392" s="11">
        <v>10000</v>
      </c>
      <c r="F392" s="11">
        <f t="shared" si="6"/>
        <v>-164918.5</v>
      </c>
    </row>
    <row r="393" spans="1:6" x14ac:dyDescent="0.35">
      <c r="A393" s="10"/>
      <c r="B393" s="10" t="s">
        <v>380</v>
      </c>
      <c r="C393" s="10"/>
      <c r="D393" s="11"/>
      <c r="E393" s="11">
        <v>6000</v>
      </c>
      <c r="F393" s="11">
        <f t="shared" si="6"/>
        <v>-170918.5</v>
      </c>
    </row>
    <row r="394" spans="1:6" x14ac:dyDescent="0.35">
      <c r="A394" s="10"/>
      <c r="B394" s="10" t="s">
        <v>381</v>
      </c>
      <c r="C394" s="10"/>
      <c r="D394" s="11"/>
      <c r="E394" s="11">
        <v>10000</v>
      </c>
      <c r="F394" s="11">
        <f t="shared" si="6"/>
        <v>-180918.5</v>
      </c>
    </row>
    <row r="395" spans="1:6" x14ac:dyDescent="0.35">
      <c r="A395" s="10"/>
      <c r="B395" s="10" t="s">
        <v>13</v>
      </c>
      <c r="C395" s="10"/>
      <c r="D395" s="11"/>
      <c r="E395" s="11">
        <v>8600</v>
      </c>
      <c r="F395" s="11">
        <f t="shared" si="6"/>
        <v>-189518.5</v>
      </c>
    </row>
    <row r="396" spans="1:6" x14ac:dyDescent="0.35">
      <c r="A396" s="10"/>
      <c r="B396" s="10" t="s">
        <v>382</v>
      </c>
      <c r="C396" s="10"/>
      <c r="D396" s="11"/>
      <c r="E396" s="11">
        <v>60000</v>
      </c>
      <c r="F396" s="11">
        <f t="shared" si="6"/>
        <v>-249518.5</v>
      </c>
    </row>
    <row r="397" spans="1:6" x14ac:dyDescent="0.35">
      <c r="A397" s="10"/>
      <c r="B397" s="10" t="s">
        <v>13</v>
      </c>
      <c r="C397" s="10"/>
      <c r="D397" s="11"/>
      <c r="E397" s="11">
        <v>300</v>
      </c>
      <c r="F397" s="11">
        <f t="shared" si="6"/>
        <v>-249818.5</v>
      </c>
    </row>
    <row r="398" spans="1:6" x14ac:dyDescent="0.35">
      <c r="A398" s="16"/>
      <c r="B398" s="16" t="s">
        <v>383</v>
      </c>
      <c r="C398" s="16"/>
      <c r="D398" s="17">
        <v>8460000</v>
      </c>
      <c r="E398" s="17"/>
      <c r="F398" s="17">
        <f t="shared" si="6"/>
        <v>8210181.5</v>
      </c>
    </row>
    <row r="399" spans="1:6" x14ac:dyDescent="0.35">
      <c r="A399" s="16"/>
      <c r="B399" s="16" t="s">
        <v>384</v>
      </c>
      <c r="C399" s="16"/>
      <c r="D399" s="17"/>
      <c r="E399" s="17">
        <v>900000</v>
      </c>
      <c r="F399" s="17">
        <f t="shared" si="6"/>
        <v>7310181.5</v>
      </c>
    </row>
    <row r="400" spans="1:6" x14ac:dyDescent="0.35">
      <c r="A400" s="10"/>
      <c r="B400" s="10" t="s">
        <v>385</v>
      </c>
      <c r="C400" s="10"/>
      <c r="D400" s="11"/>
      <c r="E400" s="11">
        <v>7200000</v>
      </c>
      <c r="F400" s="12">
        <f t="shared" si="6"/>
        <v>110181.5</v>
      </c>
    </row>
    <row r="401" spans="1:6" x14ac:dyDescent="0.35">
      <c r="A401" s="10"/>
      <c r="B401" s="10" t="s">
        <v>386</v>
      </c>
      <c r="C401" s="10"/>
      <c r="D401" s="11"/>
      <c r="E401" s="11">
        <v>300000</v>
      </c>
      <c r="F401" s="12">
        <f t="shared" ref="F401:F464" si="7">F400+D401-E401</f>
        <v>-189818.5</v>
      </c>
    </row>
    <row r="402" spans="1:6" x14ac:dyDescent="0.35">
      <c r="A402" s="10"/>
      <c r="B402" s="10" t="s">
        <v>387</v>
      </c>
      <c r="C402" s="10"/>
      <c r="D402" s="11"/>
      <c r="E402" s="11">
        <v>18000</v>
      </c>
      <c r="F402" s="12">
        <f t="shared" si="7"/>
        <v>-207818.5</v>
      </c>
    </row>
    <row r="403" spans="1:6" x14ac:dyDescent="0.35">
      <c r="A403" s="10"/>
      <c r="B403" s="10" t="s">
        <v>13</v>
      </c>
      <c r="C403" s="10"/>
      <c r="D403" s="11"/>
      <c r="E403" s="11">
        <v>10100</v>
      </c>
      <c r="F403" s="12">
        <f t="shared" si="7"/>
        <v>-217918.5</v>
      </c>
    </row>
    <row r="404" spans="1:6" x14ac:dyDescent="0.35">
      <c r="A404" s="16" t="s">
        <v>556</v>
      </c>
      <c r="B404" s="16" t="s">
        <v>388</v>
      </c>
      <c r="C404" s="16"/>
      <c r="D404" s="17">
        <v>25000</v>
      </c>
      <c r="E404" s="39"/>
      <c r="F404" s="9">
        <f t="shared" si="7"/>
        <v>-192918.5</v>
      </c>
    </row>
    <row r="405" spans="1:6" x14ac:dyDescent="0.35">
      <c r="A405" s="10"/>
      <c r="B405" s="10" t="s">
        <v>389</v>
      </c>
      <c r="C405" s="10"/>
      <c r="D405" s="11"/>
      <c r="E405" s="11">
        <v>60000</v>
      </c>
      <c r="F405" s="12">
        <f t="shared" si="7"/>
        <v>-252918.5</v>
      </c>
    </row>
    <row r="406" spans="1:6" x14ac:dyDescent="0.35">
      <c r="A406" s="10"/>
      <c r="B406" s="10" t="s">
        <v>390</v>
      </c>
      <c r="C406" s="10"/>
      <c r="D406" s="11"/>
      <c r="E406" s="11">
        <v>15000</v>
      </c>
      <c r="F406" s="12">
        <f t="shared" si="7"/>
        <v>-267918.5</v>
      </c>
    </row>
    <row r="407" spans="1:6" x14ac:dyDescent="0.35">
      <c r="A407" s="10"/>
      <c r="B407" s="10" t="s">
        <v>53</v>
      </c>
      <c r="C407" s="10"/>
      <c r="D407" s="11"/>
      <c r="E407" s="11">
        <v>1001</v>
      </c>
      <c r="F407" s="12">
        <f t="shared" si="7"/>
        <v>-268919.5</v>
      </c>
    </row>
    <row r="408" spans="1:6" x14ac:dyDescent="0.35">
      <c r="A408" s="40" t="s">
        <v>557</v>
      </c>
      <c r="B408" s="40" t="s">
        <v>391</v>
      </c>
      <c r="C408" s="40"/>
      <c r="D408" s="39">
        <v>10858000</v>
      </c>
      <c r="E408" s="39"/>
      <c r="F408" s="39">
        <f t="shared" si="7"/>
        <v>10589080.5</v>
      </c>
    </row>
    <row r="409" spans="1:6" x14ac:dyDescent="0.35">
      <c r="A409" s="10"/>
      <c r="B409" s="10" t="s">
        <v>361</v>
      </c>
      <c r="C409" s="10"/>
      <c r="D409" s="11"/>
      <c r="E409" s="11">
        <v>7500000</v>
      </c>
      <c r="F409" s="12">
        <f t="shared" si="7"/>
        <v>3089080.5</v>
      </c>
    </row>
    <row r="410" spans="1:6" x14ac:dyDescent="0.35">
      <c r="A410" s="10"/>
      <c r="B410" s="10" t="s">
        <v>392</v>
      </c>
      <c r="C410" s="10"/>
      <c r="D410" s="11"/>
      <c r="E410" s="11">
        <v>270000</v>
      </c>
      <c r="F410" s="12">
        <f t="shared" si="7"/>
        <v>2819080.5</v>
      </c>
    </row>
    <row r="411" spans="1:6" x14ac:dyDescent="0.35">
      <c r="A411" s="10"/>
      <c r="B411" s="10" t="s">
        <v>393</v>
      </c>
      <c r="C411" s="10"/>
      <c r="D411" s="11"/>
      <c r="E411" s="11">
        <v>100000</v>
      </c>
      <c r="F411" s="12">
        <f t="shared" si="7"/>
        <v>2719080.5</v>
      </c>
    </row>
    <row r="412" spans="1:6" x14ac:dyDescent="0.35">
      <c r="A412" s="10"/>
      <c r="B412" s="14" t="s">
        <v>394</v>
      </c>
      <c r="C412" s="10"/>
      <c r="D412" s="11"/>
      <c r="E412" s="11">
        <v>200000</v>
      </c>
      <c r="F412" s="12">
        <f t="shared" si="7"/>
        <v>2519080.5</v>
      </c>
    </row>
    <row r="413" spans="1:6" x14ac:dyDescent="0.35">
      <c r="A413" s="10"/>
      <c r="B413" s="14" t="s">
        <v>395</v>
      </c>
      <c r="C413" s="10"/>
      <c r="D413" s="11"/>
      <c r="E413" s="11">
        <v>200000</v>
      </c>
      <c r="F413" s="12">
        <f t="shared" si="7"/>
        <v>2319080.5</v>
      </c>
    </row>
    <row r="414" spans="1:6" x14ac:dyDescent="0.35">
      <c r="A414" s="10"/>
      <c r="B414" s="14" t="s">
        <v>396</v>
      </c>
      <c r="C414" s="10"/>
      <c r="D414" s="11"/>
      <c r="E414" s="11">
        <v>35000</v>
      </c>
      <c r="F414" s="12">
        <f t="shared" si="7"/>
        <v>2284080.5</v>
      </c>
    </row>
    <row r="415" spans="1:6" x14ac:dyDescent="0.35">
      <c r="A415" s="10"/>
      <c r="B415" s="14" t="s">
        <v>397</v>
      </c>
      <c r="C415" s="10"/>
      <c r="D415" s="11"/>
      <c r="E415" s="11">
        <v>35000</v>
      </c>
      <c r="F415" s="12">
        <f t="shared" si="7"/>
        <v>2249080.5</v>
      </c>
    </row>
    <row r="416" spans="1:6" x14ac:dyDescent="0.35">
      <c r="A416" s="10"/>
      <c r="B416" s="14" t="s">
        <v>398</v>
      </c>
      <c r="C416" s="10"/>
      <c r="D416" s="11"/>
      <c r="E416" s="11">
        <v>35000</v>
      </c>
      <c r="F416" s="12">
        <f t="shared" si="7"/>
        <v>2214080.5</v>
      </c>
    </row>
    <row r="417" spans="1:6" x14ac:dyDescent="0.35">
      <c r="A417" s="10"/>
      <c r="B417" s="14" t="s">
        <v>399</v>
      </c>
      <c r="C417" s="10"/>
      <c r="D417" s="11"/>
      <c r="E417" s="11">
        <v>50000</v>
      </c>
      <c r="F417" s="12">
        <f t="shared" si="7"/>
        <v>2164080.5</v>
      </c>
    </row>
    <row r="418" spans="1:6" x14ac:dyDescent="0.35">
      <c r="A418" s="10"/>
      <c r="B418" s="10" t="s">
        <v>292</v>
      </c>
      <c r="C418" s="10"/>
      <c r="D418" s="11"/>
      <c r="E418" s="11">
        <v>20000</v>
      </c>
      <c r="F418" s="12">
        <f t="shared" si="7"/>
        <v>2144080.5</v>
      </c>
    </row>
    <row r="419" spans="1:6" x14ac:dyDescent="0.35">
      <c r="A419" s="10"/>
      <c r="B419" s="10" t="s">
        <v>7</v>
      </c>
      <c r="C419" s="10"/>
      <c r="D419" s="11"/>
      <c r="E419" s="11">
        <v>10000</v>
      </c>
      <c r="F419" s="12">
        <f t="shared" si="7"/>
        <v>2134080.5</v>
      </c>
    </row>
    <row r="420" spans="1:6" x14ac:dyDescent="0.35">
      <c r="A420" s="10"/>
      <c r="B420" s="10" t="s">
        <v>400</v>
      </c>
      <c r="C420" s="10"/>
      <c r="D420" s="11"/>
      <c r="E420" s="11">
        <v>10000</v>
      </c>
      <c r="F420" s="12">
        <f t="shared" si="7"/>
        <v>2124080.5</v>
      </c>
    </row>
    <row r="421" spans="1:6" x14ac:dyDescent="0.35">
      <c r="A421" s="10"/>
      <c r="B421" s="10" t="s">
        <v>299</v>
      </c>
      <c r="C421" s="10"/>
      <c r="D421" s="11"/>
      <c r="E421" s="11">
        <v>10000</v>
      </c>
      <c r="F421" s="12">
        <f t="shared" si="7"/>
        <v>2114080.5</v>
      </c>
    </row>
    <row r="422" spans="1:6" x14ac:dyDescent="0.35">
      <c r="A422" s="10"/>
      <c r="B422" s="10" t="s">
        <v>401</v>
      </c>
      <c r="C422" s="10"/>
      <c r="D422" s="11"/>
      <c r="E422" s="11">
        <v>19500</v>
      </c>
      <c r="F422" s="12">
        <f t="shared" si="7"/>
        <v>2094580.5</v>
      </c>
    </row>
    <row r="423" spans="1:6" x14ac:dyDescent="0.35">
      <c r="A423" s="10"/>
      <c r="B423" s="10" t="s">
        <v>402</v>
      </c>
      <c r="C423" s="10"/>
      <c r="D423" s="11"/>
      <c r="E423" s="11">
        <v>170000</v>
      </c>
      <c r="F423" s="12">
        <f t="shared" si="7"/>
        <v>1924580.5</v>
      </c>
    </row>
    <row r="424" spans="1:6" x14ac:dyDescent="0.35">
      <c r="A424" s="10"/>
      <c r="B424" s="10" t="s">
        <v>403</v>
      </c>
      <c r="C424" s="10"/>
      <c r="D424" s="11"/>
      <c r="E424" s="11">
        <v>180000</v>
      </c>
      <c r="F424" s="12">
        <f t="shared" si="7"/>
        <v>1744580.5</v>
      </c>
    </row>
    <row r="425" spans="1:6" x14ac:dyDescent="0.35">
      <c r="A425" s="10"/>
      <c r="B425" s="10" t="s">
        <v>404</v>
      </c>
      <c r="C425" s="10"/>
      <c r="D425" s="11"/>
      <c r="E425" s="11">
        <v>218684</v>
      </c>
      <c r="F425" s="12">
        <f t="shared" si="7"/>
        <v>1525896.5</v>
      </c>
    </row>
    <row r="426" spans="1:6" x14ac:dyDescent="0.35">
      <c r="A426" s="10"/>
      <c r="B426" s="10" t="s">
        <v>405</v>
      </c>
      <c r="C426" s="10"/>
      <c r="D426" s="11"/>
      <c r="E426" s="11">
        <v>25000</v>
      </c>
      <c r="F426" s="12">
        <f t="shared" si="7"/>
        <v>1500896.5</v>
      </c>
    </row>
    <row r="427" spans="1:6" x14ac:dyDescent="0.35">
      <c r="A427" s="10"/>
      <c r="B427" s="10" t="s">
        <v>406</v>
      </c>
      <c r="C427" s="10"/>
      <c r="D427" s="11"/>
      <c r="E427" s="11">
        <v>700000</v>
      </c>
      <c r="F427" s="12">
        <f t="shared" si="7"/>
        <v>800896.5</v>
      </c>
    </row>
    <row r="428" spans="1:6" x14ac:dyDescent="0.35">
      <c r="A428" s="10"/>
      <c r="B428" s="10" t="s">
        <v>407</v>
      </c>
      <c r="C428" s="10"/>
      <c r="D428" s="11"/>
      <c r="E428" s="11">
        <v>1000000</v>
      </c>
      <c r="F428" s="12">
        <f t="shared" si="7"/>
        <v>-199103.5</v>
      </c>
    </row>
    <row r="429" spans="1:6" x14ac:dyDescent="0.35">
      <c r="A429" s="10"/>
      <c r="B429" s="10" t="s">
        <v>408</v>
      </c>
      <c r="C429" s="10"/>
      <c r="D429" s="11"/>
      <c r="E429" s="11">
        <v>45000</v>
      </c>
      <c r="F429" s="12">
        <f t="shared" si="7"/>
        <v>-244103.5</v>
      </c>
    </row>
    <row r="430" spans="1:6" x14ac:dyDescent="0.35">
      <c r="A430" s="10"/>
      <c r="B430" s="10" t="s">
        <v>13</v>
      </c>
      <c r="C430" s="10"/>
      <c r="D430" s="11"/>
      <c r="E430" s="11">
        <v>14400</v>
      </c>
      <c r="F430" s="12">
        <f t="shared" si="7"/>
        <v>-258503.5</v>
      </c>
    </row>
    <row r="431" spans="1:6" x14ac:dyDescent="0.35">
      <c r="A431" s="10"/>
      <c r="B431" s="10" t="s">
        <v>326</v>
      </c>
      <c r="C431" s="10"/>
      <c r="D431" s="11">
        <v>100000</v>
      </c>
      <c r="E431" s="11"/>
      <c r="F431" s="12">
        <f t="shared" si="7"/>
        <v>-158503.5</v>
      </c>
    </row>
    <row r="432" spans="1:6" x14ac:dyDescent="0.35">
      <c r="A432" s="10"/>
      <c r="B432" s="10" t="s">
        <v>409</v>
      </c>
      <c r="C432" s="10"/>
      <c r="D432" s="11"/>
      <c r="E432" s="11">
        <v>100000</v>
      </c>
      <c r="F432" s="12">
        <f t="shared" si="7"/>
        <v>-258503.5</v>
      </c>
    </row>
    <row r="433" spans="1:6" x14ac:dyDescent="0.35">
      <c r="A433" s="10"/>
      <c r="B433" s="10" t="s">
        <v>13</v>
      </c>
      <c r="C433" s="10"/>
      <c r="D433" s="11"/>
      <c r="E433" s="11">
        <v>1000</v>
      </c>
      <c r="F433" s="12">
        <f t="shared" si="7"/>
        <v>-259503.5</v>
      </c>
    </row>
    <row r="434" spans="1:6" x14ac:dyDescent="0.35">
      <c r="A434" s="10"/>
      <c r="B434" s="10" t="s">
        <v>410</v>
      </c>
      <c r="C434" s="10"/>
      <c r="D434" s="11">
        <v>5750000</v>
      </c>
      <c r="E434" s="11"/>
      <c r="F434" s="12">
        <f t="shared" si="7"/>
        <v>5490496.5</v>
      </c>
    </row>
    <row r="435" spans="1:6" x14ac:dyDescent="0.35">
      <c r="A435" s="10"/>
      <c r="B435" s="10" t="s">
        <v>411</v>
      </c>
      <c r="C435" s="10"/>
      <c r="D435" s="11"/>
      <c r="E435" s="11">
        <v>5700000</v>
      </c>
      <c r="F435" s="12">
        <f t="shared" si="7"/>
        <v>-209503.5</v>
      </c>
    </row>
    <row r="436" spans="1:6" x14ac:dyDescent="0.35">
      <c r="A436" s="10"/>
      <c r="B436" s="10" t="s">
        <v>412</v>
      </c>
      <c r="C436" s="10"/>
      <c r="D436" s="11"/>
      <c r="E436" s="11">
        <v>50000</v>
      </c>
      <c r="F436" s="12">
        <f t="shared" si="7"/>
        <v>-259503.5</v>
      </c>
    </row>
    <row r="437" spans="1:6" x14ac:dyDescent="0.35">
      <c r="A437" s="16" t="s">
        <v>558</v>
      </c>
      <c r="B437" s="41" t="s">
        <v>413</v>
      </c>
      <c r="C437" s="16"/>
      <c r="D437" s="17">
        <v>2750000</v>
      </c>
      <c r="E437" s="39"/>
      <c r="F437" s="9">
        <f t="shared" si="7"/>
        <v>2490496.5</v>
      </c>
    </row>
    <row r="438" spans="1:6" x14ac:dyDescent="0.35">
      <c r="A438" s="16" t="s">
        <v>559</v>
      </c>
      <c r="B438" s="41" t="s">
        <v>326</v>
      </c>
      <c r="C438" s="16"/>
      <c r="D438" s="17">
        <v>1764500</v>
      </c>
      <c r="E438" s="39"/>
      <c r="F438" s="9">
        <f t="shared" si="7"/>
        <v>4254996.5</v>
      </c>
    </row>
    <row r="439" spans="1:6" x14ac:dyDescent="0.35">
      <c r="A439" s="10"/>
      <c r="B439" s="14" t="s">
        <v>348</v>
      </c>
      <c r="C439" s="10"/>
      <c r="D439" s="11"/>
      <c r="E439" s="11">
        <v>1500000</v>
      </c>
      <c r="F439" s="12">
        <f t="shared" si="7"/>
        <v>2754996.5</v>
      </c>
    </row>
    <row r="440" spans="1:6" x14ac:dyDescent="0.35">
      <c r="A440" s="10"/>
      <c r="B440" s="14" t="s">
        <v>370</v>
      </c>
      <c r="C440" s="10"/>
      <c r="D440" s="11"/>
      <c r="E440" s="11">
        <v>650000</v>
      </c>
      <c r="F440" s="12">
        <f t="shared" si="7"/>
        <v>2104996.5</v>
      </c>
    </row>
    <row r="441" spans="1:6" x14ac:dyDescent="0.35">
      <c r="A441" s="10"/>
      <c r="B441" s="14" t="s">
        <v>371</v>
      </c>
      <c r="C441" s="10"/>
      <c r="D441" s="11"/>
      <c r="E441" s="11">
        <v>1000000</v>
      </c>
      <c r="F441" s="12">
        <f t="shared" si="7"/>
        <v>1104996.5</v>
      </c>
    </row>
    <row r="442" spans="1:6" x14ac:dyDescent="0.35">
      <c r="A442" s="10"/>
      <c r="B442" s="14" t="s">
        <v>372</v>
      </c>
      <c r="C442" s="10"/>
      <c r="D442" s="11"/>
      <c r="E442" s="11">
        <v>1000000</v>
      </c>
      <c r="F442" s="12">
        <f t="shared" si="7"/>
        <v>104996.5</v>
      </c>
    </row>
    <row r="443" spans="1:6" x14ac:dyDescent="0.35">
      <c r="A443" s="10"/>
      <c r="B443" s="14" t="s">
        <v>414</v>
      </c>
      <c r="C443" s="10"/>
      <c r="D443" s="11"/>
      <c r="E443" s="11">
        <v>15000</v>
      </c>
      <c r="F443" s="12">
        <f t="shared" si="7"/>
        <v>89996.5</v>
      </c>
    </row>
    <row r="444" spans="1:6" x14ac:dyDescent="0.35">
      <c r="A444" s="10"/>
      <c r="B444" s="14" t="s">
        <v>373</v>
      </c>
      <c r="C444" s="10"/>
      <c r="D444" s="11"/>
      <c r="E444" s="11">
        <v>80000</v>
      </c>
      <c r="F444" s="12">
        <f t="shared" si="7"/>
        <v>9996.5</v>
      </c>
    </row>
    <row r="445" spans="1:6" x14ac:dyDescent="0.35">
      <c r="A445" s="10"/>
      <c r="B445" s="10" t="s">
        <v>415</v>
      </c>
      <c r="C445" s="10"/>
      <c r="D445" s="11"/>
      <c r="E445" s="11">
        <v>250000</v>
      </c>
      <c r="F445" s="12">
        <f t="shared" si="7"/>
        <v>-240003.5</v>
      </c>
    </row>
    <row r="446" spans="1:6" x14ac:dyDescent="0.35">
      <c r="A446" s="10"/>
      <c r="B446" s="10" t="s">
        <v>44</v>
      </c>
      <c r="C446" s="10"/>
      <c r="D446" s="11"/>
      <c r="E446" s="11">
        <v>2300</v>
      </c>
      <c r="F446" s="12">
        <f t="shared" si="7"/>
        <v>-242303.5</v>
      </c>
    </row>
    <row r="447" spans="1:6" x14ac:dyDescent="0.35">
      <c r="A447" s="10"/>
      <c r="B447" s="10" t="s">
        <v>416</v>
      </c>
      <c r="C447" s="10"/>
      <c r="D447" s="11"/>
      <c r="E447" s="11">
        <v>17200</v>
      </c>
      <c r="F447" s="12">
        <f t="shared" si="7"/>
        <v>-259503.5</v>
      </c>
    </row>
    <row r="448" spans="1:6" x14ac:dyDescent="0.35">
      <c r="A448" s="10"/>
      <c r="B448" s="10" t="s">
        <v>417</v>
      </c>
      <c r="C448" s="10"/>
      <c r="D448" s="11"/>
      <c r="E448" s="11">
        <v>2000</v>
      </c>
      <c r="F448" s="12">
        <f t="shared" si="7"/>
        <v>-261503.5</v>
      </c>
    </row>
    <row r="449" spans="1:6" x14ac:dyDescent="0.35">
      <c r="A449" s="15">
        <v>45818</v>
      </c>
      <c r="B449" s="16" t="s">
        <v>6</v>
      </c>
      <c r="C449" s="16"/>
      <c r="D449" s="17">
        <v>220000</v>
      </c>
      <c r="E449" s="17"/>
      <c r="F449" s="39">
        <f t="shared" si="7"/>
        <v>-41503.5</v>
      </c>
    </row>
    <row r="450" spans="1:6" x14ac:dyDescent="0.35">
      <c r="A450" s="10"/>
      <c r="B450" s="10" t="s">
        <v>418</v>
      </c>
      <c r="C450" s="10"/>
      <c r="D450" s="11"/>
      <c r="E450" s="11">
        <v>220000</v>
      </c>
      <c r="F450" s="12">
        <f t="shared" si="7"/>
        <v>-261503.5</v>
      </c>
    </row>
    <row r="451" spans="1:6" x14ac:dyDescent="0.35">
      <c r="A451" s="10"/>
      <c r="B451" s="10" t="s">
        <v>261</v>
      </c>
      <c r="C451" s="10"/>
      <c r="D451" s="11"/>
      <c r="E451" s="11">
        <v>600</v>
      </c>
      <c r="F451" s="12">
        <f t="shared" si="7"/>
        <v>-262103.5</v>
      </c>
    </row>
    <row r="452" spans="1:6" x14ac:dyDescent="0.35">
      <c r="A452" s="15">
        <v>45910</v>
      </c>
      <c r="B452" s="16" t="s">
        <v>6</v>
      </c>
      <c r="C452" s="16"/>
      <c r="D452" s="17">
        <v>110000</v>
      </c>
      <c r="E452" s="17"/>
      <c r="F452" s="39">
        <f t="shared" si="7"/>
        <v>-152103.5</v>
      </c>
    </row>
    <row r="453" spans="1:6" x14ac:dyDescent="0.35">
      <c r="A453" s="10"/>
      <c r="B453" s="10" t="s">
        <v>419</v>
      </c>
      <c r="C453" s="10"/>
      <c r="D453" s="11"/>
      <c r="E453" s="11">
        <v>100000</v>
      </c>
      <c r="F453" s="12">
        <f t="shared" si="7"/>
        <v>-252103.5</v>
      </c>
    </row>
    <row r="454" spans="1:6" x14ac:dyDescent="0.35">
      <c r="A454" s="10"/>
      <c r="B454" s="10" t="s">
        <v>420</v>
      </c>
      <c r="C454" s="10"/>
      <c r="D454" s="11"/>
      <c r="E454" s="11">
        <v>10000</v>
      </c>
      <c r="F454" s="12">
        <f t="shared" si="7"/>
        <v>-262103.5</v>
      </c>
    </row>
    <row r="455" spans="1:6" x14ac:dyDescent="0.35">
      <c r="A455" s="10"/>
      <c r="B455" s="10" t="s">
        <v>261</v>
      </c>
      <c r="C455" s="10"/>
      <c r="D455" s="11"/>
      <c r="E455" s="11">
        <v>1000</v>
      </c>
      <c r="F455" s="12">
        <f t="shared" si="7"/>
        <v>-263103.5</v>
      </c>
    </row>
    <row r="456" spans="1:6" x14ac:dyDescent="0.35">
      <c r="A456" s="15">
        <v>45971</v>
      </c>
      <c r="B456" s="16" t="s">
        <v>421</v>
      </c>
      <c r="C456" s="16"/>
      <c r="D456" s="17">
        <v>4000000</v>
      </c>
      <c r="E456" s="17"/>
      <c r="F456" s="39">
        <f t="shared" si="7"/>
        <v>3736896.5</v>
      </c>
    </row>
    <row r="457" spans="1:6" x14ac:dyDescent="0.35">
      <c r="A457" s="16"/>
      <c r="B457" s="16" t="s">
        <v>422</v>
      </c>
      <c r="C457" s="16"/>
      <c r="D457" s="17">
        <v>5100000</v>
      </c>
      <c r="E457" s="17"/>
      <c r="F457" s="39">
        <f t="shared" si="7"/>
        <v>8836896.5</v>
      </c>
    </row>
    <row r="458" spans="1:6" x14ac:dyDescent="0.35">
      <c r="A458" s="10"/>
      <c r="B458" s="10" t="s">
        <v>286</v>
      </c>
      <c r="C458" s="10"/>
      <c r="D458" s="11"/>
      <c r="E458" s="11">
        <v>8100000</v>
      </c>
      <c r="F458" s="12">
        <f t="shared" si="7"/>
        <v>736896.5</v>
      </c>
    </row>
    <row r="459" spans="1:6" x14ac:dyDescent="0.35">
      <c r="A459" s="10"/>
      <c r="B459" s="10" t="s">
        <v>423</v>
      </c>
      <c r="C459" s="10"/>
      <c r="D459" s="11"/>
      <c r="E459" s="11">
        <v>700000</v>
      </c>
      <c r="F459" s="12">
        <f t="shared" si="7"/>
        <v>36896.5</v>
      </c>
    </row>
    <row r="460" spans="1:6" x14ac:dyDescent="0.35">
      <c r="A460" s="10"/>
      <c r="B460" s="10" t="s">
        <v>424</v>
      </c>
      <c r="C460" s="10"/>
      <c r="D460" s="11"/>
      <c r="E460" s="11">
        <v>60000</v>
      </c>
      <c r="F460" s="12">
        <f t="shared" si="7"/>
        <v>-23103.5</v>
      </c>
    </row>
    <row r="461" spans="1:6" x14ac:dyDescent="0.35">
      <c r="A461" s="10"/>
      <c r="B461" s="10" t="s">
        <v>425</v>
      </c>
      <c r="C461" s="10"/>
      <c r="D461" s="11"/>
      <c r="E461" s="11">
        <v>150000</v>
      </c>
      <c r="F461" s="12">
        <f t="shared" si="7"/>
        <v>-173103.5</v>
      </c>
    </row>
    <row r="462" spans="1:6" x14ac:dyDescent="0.35">
      <c r="A462" s="10"/>
      <c r="B462" s="10" t="s">
        <v>426</v>
      </c>
      <c r="C462" s="10"/>
      <c r="D462" s="11"/>
      <c r="E462" s="11">
        <v>15000</v>
      </c>
      <c r="F462" s="12">
        <f t="shared" si="7"/>
        <v>-188103.5</v>
      </c>
    </row>
    <row r="463" spans="1:6" x14ac:dyDescent="0.35">
      <c r="A463" s="10"/>
      <c r="B463" s="10" t="s">
        <v>46</v>
      </c>
      <c r="C463" s="10"/>
      <c r="D463" s="11"/>
      <c r="E463" s="11">
        <v>5000</v>
      </c>
      <c r="F463" s="12">
        <f t="shared" si="7"/>
        <v>-193103.5</v>
      </c>
    </row>
    <row r="464" spans="1:6" x14ac:dyDescent="0.35">
      <c r="A464" s="10"/>
      <c r="B464" s="10" t="s">
        <v>13</v>
      </c>
      <c r="C464" s="10"/>
      <c r="D464" s="11"/>
      <c r="E464" s="11">
        <v>13100</v>
      </c>
      <c r="F464" s="12">
        <f t="shared" si="7"/>
        <v>-206203.5</v>
      </c>
    </row>
    <row r="465" spans="1:6" x14ac:dyDescent="0.35">
      <c r="A465" s="10"/>
      <c r="B465" s="14" t="s">
        <v>427</v>
      </c>
      <c r="C465" s="10"/>
      <c r="D465" s="11">
        <v>4951</v>
      </c>
      <c r="E465" s="11"/>
      <c r="F465" s="12">
        <f t="shared" ref="F465:F528" si="8">F464+D465-E465</f>
        <v>-201252.5</v>
      </c>
    </row>
    <row r="466" spans="1:6" x14ac:dyDescent="0.35">
      <c r="A466" s="40" t="s">
        <v>560</v>
      </c>
      <c r="B466" s="42" t="s">
        <v>428</v>
      </c>
      <c r="C466" s="40"/>
      <c r="D466" s="39">
        <v>979000</v>
      </c>
      <c r="E466" s="39"/>
      <c r="F466" s="39">
        <f t="shared" si="8"/>
        <v>777747.5</v>
      </c>
    </row>
    <row r="467" spans="1:6" x14ac:dyDescent="0.35">
      <c r="A467" s="10"/>
      <c r="B467" s="14" t="s">
        <v>429</v>
      </c>
      <c r="C467" s="10"/>
      <c r="D467" s="11"/>
      <c r="E467" s="11">
        <v>200000</v>
      </c>
      <c r="F467" s="12">
        <f t="shared" si="8"/>
        <v>577747.5</v>
      </c>
    </row>
    <row r="468" spans="1:6" x14ac:dyDescent="0.35">
      <c r="A468" s="10"/>
      <c r="B468" s="14" t="s">
        <v>430</v>
      </c>
      <c r="C468" s="10"/>
      <c r="D468" s="11"/>
      <c r="E468" s="11">
        <v>200000</v>
      </c>
      <c r="F468" s="12">
        <f t="shared" si="8"/>
        <v>377747.5</v>
      </c>
    </row>
    <row r="469" spans="1:6" x14ac:dyDescent="0.35">
      <c r="A469" s="10"/>
      <c r="B469" s="14" t="s">
        <v>431</v>
      </c>
      <c r="C469" s="10"/>
      <c r="D469" s="11"/>
      <c r="E469" s="11">
        <v>35000</v>
      </c>
      <c r="F469" s="12">
        <f t="shared" si="8"/>
        <v>342747.5</v>
      </c>
    </row>
    <row r="470" spans="1:6" x14ac:dyDescent="0.35">
      <c r="A470" s="10"/>
      <c r="B470" s="14" t="s">
        <v>432</v>
      </c>
      <c r="C470" s="10"/>
      <c r="D470" s="11"/>
      <c r="E470" s="11">
        <v>35000</v>
      </c>
      <c r="F470" s="12">
        <f t="shared" si="8"/>
        <v>307747.5</v>
      </c>
    </row>
    <row r="471" spans="1:6" x14ac:dyDescent="0.35">
      <c r="A471" s="10"/>
      <c r="B471" s="14" t="s">
        <v>433</v>
      </c>
      <c r="C471" s="10"/>
      <c r="D471" s="11"/>
      <c r="E471" s="11">
        <v>35000</v>
      </c>
      <c r="F471" s="12">
        <f t="shared" si="8"/>
        <v>272747.5</v>
      </c>
    </row>
    <row r="472" spans="1:6" x14ac:dyDescent="0.35">
      <c r="A472" s="10"/>
      <c r="B472" s="14" t="s">
        <v>434</v>
      </c>
      <c r="C472" s="10"/>
      <c r="D472" s="11"/>
      <c r="E472" s="11">
        <v>50000</v>
      </c>
      <c r="F472" s="12">
        <f t="shared" si="8"/>
        <v>222747.5</v>
      </c>
    </row>
    <row r="473" spans="1:6" x14ac:dyDescent="0.35">
      <c r="A473" s="10"/>
      <c r="B473" s="10" t="s">
        <v>435</v>
      </c>
      <c r="C473" s="10"/>
      <c r="D473" s="11"/>
      <c r="E473" s="11">
        <v>20000</v>
      </c>
      <c r="F473" s="12">
        <f t="shared" si="8"/>
        <v>202747.5</v>
      </c>
    </row>
    <row r="474" spans="1:6" x14ac:dyDescent="0.35">
      <c r="A474" s="10"/>
      <c r="B474" s="10" t="s">
        <v>436</v>
      </c>
      <c r="C474" s="10"/>
      <c r="D474" s="11"/>
      <c r="E474" s="11">
        <v>150000</v>
      </c>
      <c r="F474" s="12">
        <f t="shared" si="8"/>
        <v>52747.5</v>
      </c>
    </row>
    <row r="475" spans="1:6" x14ac:dyDescent="0.35">
      <c r="A475" s="10"/>
      <c r="B475" s="10" t="s">
        <v>437</v>
      </c>
      <c r="C475" s="10"/>
      <c r="D475" s="11"/>
      <c r="E475" s="11">
        <v>144000</v>
      </c>
      <c r="F475" s="12">
        <f t="shared" si="8"/>
        <v>-91252.5</v>
      </c>
    </row>
    <row r="476" spans="1:6" x14ac:dyDescent="0.35">
      <c r="A476" s="10"/>
      <c r="B476" s="10" t="s">
        <v>438</v>
      </c>
      <c r="C476" s="10"/>
      <c r="D476" s="11"/>
      <c r="E476" s="11">
        <v>60000</v>
      </c>
      <c r="F476" s="12">
        <f t="shared" si="8"/>
        <v>-151252.5</v>
      </c>
    </row>
    <row r="477" spans="1:6" x14ac:dyDescent="0.35">
      <c r="A477" s="10"/>
      <c r="B477" s="10" t="s">
        <v>439</v>
      </c>
      <c r="C477" s="10"/>
      <c r="D477" s="11"/>
      <c r="E477" s="11">
        <v>20000</v>
      </c>
      <c r="F477" s="12">
        <f t="shared" si="8"/>
        <v>-171252.5</v>
      </c>
    </row>
    <row r="478" spans="1:6" x14ac:dyDescent="0.35">
      <c r="A478" s="10"/>
      <c r="B478" s="10" t="s">
        <v>440</v>
      </c>
      <c r="C478" s="10"/>
      <c r="D478" s="11"/>
      <c r="E478" s="11">
        <v>30000</v>
      </c>
      <c r="F478" s="12">
        <f t="shared" si="8"/>
        <v>-201252.5</v>
      </c>
    </row>
    <row r="479" spans="1:6" x14ac:dyDescent="0.35">
      <c r="A479" s="16" t="s">
        <v>561</v>
      </c>
      <c r="B479" s="16" t="s">
        <v>441</v>
      </c>
      <c r="C479" s="16"/>
      <c r="D479" s="17">
        <v>7300000</v>
      </c>
      <c r="E479" s="17"/>
      <c r="F479" s="39">
        <f t="shared" si="8"/>
        <v>7098747.5</v>
      </c>
    </row>
    <row r="480" spans="1:6" x14ac:dyDescent="0.35">
      <c r="A480" s="16" t="s">
        <v>561</v>
      </c>
      <c r="B480" s="16" t="s">
        <v>6</v>
      </c>
      <c r="C480" s="16"/>
      <c r="D480" s="17">
        <v>105000</v>
      </c>
      <c r="E480" s="17"/>
      <c r="F480" s="39">
        <f t="shared" si="8"/>
        <v>7203747.5</v>
      </c>
    </row>
    <row r="481" spans="1:6" x14ac:dyDescent="0.35">
      <c r="A481" s="10"/>
      <c r="B481" s="10" t="s">
        <v>281</v>
      </c>
      <c r="C481" s="10"/>
      <c r="D481" s="11"/>
      <c r="E481" s="11">
        <v>7300000</v>
      </c>
      <c r="F481" s="12">
        <f t="shared" si="8"/>
        <v>-96252.5</v>
      </c>
    </row>
    <row r="482" spans="1:6" x14ac:dyDescent="0.35">
      <c r="A482" s="10"/>
      <c r="B482" s="10" t="s">
        <v>13</v>
      </c>
      <c r="C482" s="10"/>
      <c r="D482" s="11"/>
      <c r="E482" s="11">
        <v>11500</v>
      </c>
      <c r="F482" s="12">
        <f t="shared" si="8"/>
        <v>-107752.5</v>
      </c>
    </row>
    <row r="483" spans="1:6" x14ac:dyDescent="0.35">
      <c r="A483" s="37" t="s">
        <v>562</v>
      </c>
      <c r="B483" s="37" t="s">
        <v>6</v>
      </c>
      <c r="C483" s="37"/>
      <c r="D483" s="43">
        <v>120000</v>
      </c>
      <c r="E483" s="43"/>
      <c r="F483" s="12">
        <f t="shared" si="8"/>
        <v>12247.5</v>
      </c>
    </row>
    <row r="484" spans="1:6" x14ac:dyDescent="0.35">
      <c r="A484" s="10"/>
      <c r="B484" s="10" t="s">
        <v>442</v>
      </c>
      <c r="C484" s="10"/>
      <c r="D484" s="11"/>
      <c r="E484" s="11">
        <v>100000</v>
      </c>
      <c r="F484" s="12">
        <f t="shared" si="8"/>
        <v>-87752.5</v>
      </c>
    </row>
    <row r="485" spans="1:6" x14ac:dyDescent="0.35">
      <c r="A485" s="10"/>
      <c r="B485" s="10" t="s">
        <v>443</v>
      </c>
      <c r="C485" s="10"/>
      <c r="D485" s="11"/>
      <c r="E485" s="11">
        <v>5000</v>
      </c>
      <c r="F485" s="12">
        <f t="shared" si="8"/>
        <v>-92752.5</v>
      </c>
    </row>
    <row r="486" spans="1:6" x14ac:dyDescent="0.35">
      <c r="A486" s="10"/>
      <c r="B486" s="10" t="s">
        <v>444</v>
      </c>
      <c r="C486" s="10"/>
      <c r="D486" s="11"/>
      <c r="E486" s="11">
        <v>100000</v>
      </c>
      <c r="F486" s="12">
        <f t="shared" si="8"/>
        <v>-192752.5</v>
      </c>
    </row>
    <row r="487" spans="1:6" x14ac:dyDescent="0.35">
      <c r="A487" s="10"/>
      <c r="B487" s="10" t="s">
        <v>445</v>
      </c>
      <c r="C487" s="10"/>
      <c r="D487" s="11"/>
      <c r="E487" s="11">
        <v>20000</v>
      </c>
      <c r="F487" s="12">
        <f t="shared" si="8"/>
        <v>-212752.5</v>
      </c>
    </row>
    <row r="488" spans="1:6" x14ac:dyDescent="0.35">
      <c r="A488" s="10"/>
      <c r="B488" s="10" t="s">
        <v>13</v>
      </c>
      <c r="C488" s="10"/>
      <c r="D488" s="11"/>
      <c r="E488" s="11">
        <v>1500</v>
      </c>
      <c r="F488" s="12">
        <f t="shared" si="8"/>
        <v>-214252.5</v>
      </c>
    </row>
    <row r="489" spans="1:6" x14ac:dyDescent="0.35">
      <c r="A489" s="16" t="s">
        <v>563</v>
      </c>
      <c r="B489" s="16" t="s">
        <v>446</v>
      </c>
      <c r="C489" s="16"/>
      <c r="D489" s="17">
        <v>8200000</v>
      </c>
      <c r="E489" s="17"/>
      <c r="F489" s="39">
        <f t="shared" si="8"/>
        <v>7985747.5</v>
      </c>
    </row>
    <row r="490" spans="1:6" x14ac:dyDescent="0.35">
      <c r="A490" s="16"/>
      <c r="B490" s="16" t="s">
        <v>447</v>
      </c>
      <c r="C490" s="16"/>
      <c r="D490" s="17"/>
      <c r="E490" s="17">
        <v>700000</v>
      </c>
      <c r="F490" s="39">
        <f t="shared" si="8"/>
        <v>7285747.5</v>
      </c>
    </row>
    <row r="491" spans="1:6" x14ac:dyDescent="0.35">
      <c r="A491" s="10"/>
      <c r="B491" s="10" t="s">
        <v>448</v>
      </c>
      <c r="C491" s="10"/>
      <c r="D491" s="11"/>
      <c r="E491" s="11">
        <v>6300000</v>
      </c>
      <c r="F491" s="12">
        <f t="shared" si="8"/>
        <v>985747.5</v>
      </c>
    </row>
    <row r="492" spans="1:6" x14ac:dyDescent="0.35">
      <c r="A492" s="10"/>
      <c r="B492" s="10" t="s">
        <v>53</v>
      </c>
      <c r="C492" s="10"/>
      <c r="D492" s="11"/>
      <c r="E492" s="11">
        <v>8200</v>
      </c>
      <c r="F492" s="12">
        <f t="shared" si="8"/>
        <v>977547.5</v>
      </c>
    </row>
    <row r="493" spans="1:6" x14ac:dyDescent="0.35">
      <c r="A493" s="16" t="s">
        <v>564</v>
      </c>
      <c r="B493" s="16" t="s">
        <v>449</v>
      </c>
      <c r="C493" s="16"/>
      <c r="D493" s="17">
        <v>3800000</v>
      </c>
      <c r="E493" s="17"/>
      <c r="F493" s="39">
        <f t="shared" si="8"/>
        <v>4777547.5</v>
      </c>
    </row>
    <row r="494" spans="1:6" ht="15.5" x14ac:dyDescent="0.35">
      <c r="A494" s="10"/>
      <c r="B494" s="13" t="s">
        <v>450</v>
      </c>
      <c r="C494" s="10"/>
      <c r="D494" s="11"/>
      <c r="E494" s="11">
        <v>1500000</v>
      </c>
      <c r="F494" s="12">
        <f t="shared" si="8"/>
        <v>3277547.5</v>
      </c>
    </row>
    <row r="495" spans="1:6" ht="15.5" x14ac:dyDescent="0.35">
      <c r="A495" s="10"/>
      <c r="B495" s="13" t="s">
        <v>451</v>
      </c>
      <c r="C495" s="10"/>
      <c r="D495" s="11"/>
      <c r="E495" s="11">
        <v>650000</v>
      </c>
      <c r="F495" s="12">
        <f t="shared" si="8"/>
        <v>2627547.5</v>
      </c>
    </row>
    <row r="496" spans="1:6" ht="15.5" x14ac:dyDescent="0.35">
      <c r="A496" s="10"/>
      <c r="B496" s="13" t="s">
        <v>452</v>
      </c>
      <c r="C496" s="10"/>
      <c r="D496" s="11"/>
      <c r="E496" s="11">
        <v>1000000</v>
      </c>
      <c r="F496" s="12">
        <f t="shared" si="8"/>
        <v>1627547.5</v>
      </c>
    </row>
    <row r="497" spans="1:6" ht="15.5" x14ac:dyDescent="0.35">
      <c r="A497" s="10"/>
      <c r="B497" s="13" t="s">
        <v>453</v>
      </c>
      <c r="C497" s="10"/>
      <c r="D497" s="11"/>
      <c r="E497" s="11">
        <v>1000000</v>
      </c>
      <c r="F497" s="12">
        <f t="shared" si="8"/>
        <v>627547.5</v>
      </c>
    </row>
    <row r="498" spans="1:6" ht="15.5" x14ac:dyDescent="0.35">
      <c r="A498" s="10"/>
      <c r="B498" s="13" t="s">
        <v>454</v>
      </c>
      <c r="C498" s="10"/>
      <c r="D498" s="11"/>
      <c r="E498" s="11">
        <v>80000</v>
      </c>
      <c r="F498" s="12">
        <f t="shared" si="8"/>
        <v>547547.5</v>
      </c>
    </row>
    <row r="499" spans="1:6" ht="15.5" x14ac:dyDescent="0.35">
      <c r="A499" s="10"/>
      <c r="B499" s="13" t="s">
        <v>455</v>
      </c>
      <c r="C499" s="10"/>
      <c r="D499" s="11"/>
      <c r="E499" s="11">
        <v>100000</v>
      </c>
      <c r="F499" s="12">
        <f t="shared" si="8"/>
        <v>447547.5</v>
      </c>
    </row>
    <row r="500" spans="1:6" x14ac:dyDescent="0.35">
      <c r="A500" s="10"/>
      <c r="B500" s="10" t="s">
        <v>43</v>
      </c>
      <c r="C500" s="10"/>
      <c r="D500" s="11"/>
      <c r="E500" s="11">
        <v>250000</v>
      </c>
      <c r="F500" s="12">
        <f t="shared" si="8"/>
        <v>197547.5</v>
      </c>
    </row>
    <row r="501" spans="1:6" ht="15.5" x14ac:dyDescent="0.35">
      <c r="A501" s="10"/>
      <c r="B501" s="13" t="s">
        <v>44</v>
      </c>
      <c r="C501" s="10"/>
      <c r="D501" s="11"/>
      <c r="E501" s="11">
        <v>2300</v>
      </c>
      <c r="F501" s="12">
        <f t="shared" si="8"/>
        <v>195247.5</v>
      </c>
    </row>
    <row r="502" spans="1:6" ht="15.5" x14ac:dyDescent="0.35">
      <c r="A502" s="10"/>
      <c r="B502" s="13" t="s">
        <v>456</v>
      </c>
      <c r="C502" s="10"/>
      <c r="D502" s="11"/>
      <c r="E502" s="11">
        <v>17200</v>
      </c>
      <c r="F502" s="12">
        <f t="shared" si="8"/>
        <v>178047.5</v>
      </c>
    </row>
    <row r="503" spans="1:6" x14ac:dyDescent="0.35">
      <c r="A503" s="10"/>
      <c r="B503" s="10" t="s">
        <v>457</v>
      </c>
      <c r="C503" s="10"/>
      <c r="D503" s="11"/>
      <c r="E503" s="11">
        <v>4600</v>
      </c>
      <c r="F503" s="12">
        <f t="shared" si="8"/>
        <v>173447.5</v>
      </c>
    </row>
    <row r="504" spans="1:6" x14ac:dyDescent="0.35">
      <c r="A504" s="60" t="s">
        <v>253</v>
      </c>
      <c r="B504" s="10" t="s">
        <v>458</v>
      </c>
      <c r="C504" s="37"/>
      <c r="D504" s="43"/>
      <c r="E504" s="44">
        <v>100000</v>
      </c>
      <c r="F504" s="12">
        <f t="shared" si="8"/>
        <v>73447.5</v>
      </c>
    </row>
    <row r="505" spans="1:6" x14ac:dyDescent="0.35">
      <c r="A505" s="10"/>
      <c r="B505" s="10" t="s">
        <v>459</v>
      </c>
      <c r="C505" s="10"/>
      <c r="D505" s="11"/>
      <c r="E505" s="11">
        <v>20000</v>
      </c>
      <c r="F505" s="12">
        <f t="shared" si="8"/>
        <v>53447.5</v>
      </c>
    </row>
    <row r="506" spans="1:6" x14ac:dyDescent="0.35">
      <c r="A506" s="10"/>
      <c r="B506" s="10" t="s">
        <v>53</v>
      </c>
      <c r="C506" s="10"/>
      <c r="D506" s="11"/>
      <c r="E506" s="11">
        <v>1500</v>
      </c>
      <c r="F506" s="12">
        <f t="shared" si="8"/>
        <v>51947.5</v>
      </c>
    </row>
    <row r="507" spans="1:6" x14ac:dyDescent="0.35">
      <c r="A507" s="61">
        <v>45880</v>
      </c>
      <c r="B507" s="40" t="s">
        <v>460</v>
      </c>
      <c r="C507" s="40"/>
      <c r="D507" s="39">
        <v>7500000</v>
      </c>
      <c r="E507" s="39"/>
      <c r="F507" s="39">
        <f t="shared" si="8"/>
        <v>7551947.5</v>
      </c>
    </row>
    <row r="508" spans="1:6" x14ac:dyDescent="0.35">
      <c r="A508" s="40"/>
      <c r="B508" s="40" t="s">
        <v>461</v>
      </c>
      <c r="C508" s="40"/>
      <c r="D508" s="39">
        <v>330000</v>
      </c>
      <c r="E508" s="39"/>
      <c r="F508" s="39">
        <f t="shared" si="8"/>
        <v>7881947.5</v>
      </c>
    </row>
    <row r="509" spans="1:6" x14ac:dyDescent="0.35">
      <c r="A509" s="62">
        <v>45941</v>
      </c>
      <c r="B509" s="10" t="s">
        <v>224</v>
      </c>
      <c r="C509" s="10"/>
      <c r="D509" s="44"/>
      <c r="E509" s="44">
        <v>7900000</v>
      </c>
      <c r="F509" s="12">
        <f t="shared" si="8"/>
        <v>-18052.5</v>
      </c>
    </row>
    <row r="510" spans="1:6" x14ac:dyDescent="0.35">
      <c r="A510" s="37"/>
      <c r="B510" s="10" t="s">
        <v>53</v>
      </c>
      <c r="C510" s="10"/>
      <c r="D510" s="44"/>
      <c r="E510" s="44">
        <v>11000</v>
      </c>
      <c r="F510" s="12">
        <f t="shared" si="8"/>
        <v>-29052.5</v>
      </c>
    </row>
    <row r="511" spans="1:6" x14ac:dyDescent="0.35">
      <c r="A511" s="37"/>
      <c r="B511" s="10" t="s">
        <v>7</v>
      </c>
      <c r="C511" s="10"/>
      <c r="D511" s="44"/>
      <c r="E511" s="44">
        <v>10000</v>
      </c>
      <c r="F511" s="12">
        <f t="shared" si="8"/>
        <v>-39052.5</v>
      </c>
    </row>
    <row r="512" spans="1:6" x14ac:dyDescent="0.35">
      <c r="A512" s="37"/>
      <c r="B512" s="10" t="s">
        <v>462</v>
      </c>
      <c r="C512" s="10"/>
      <c r="D512" s="44"/>
      <c r="E512" s="44">
        <v>222250</v>
      </c>
      <c r="F512" s="12">
        <f t="shared" si="8"/>
        <v>-261302.5</v>
      </c>
    </row>
    <row r="513" spans="1:6" x14ac:dyDescent="0.35">
      <c r="A513" s="37"/>
      <c r="B513" s="10" t="s">
        <v>261</v>
      </c>
      <c r="C513" s="10"/>
      <c r="D513" s="44"/>
      <c r="E513" s="44">
        <v>900</v>
      </c>
      <c r="F513" s="12">
        <f t="shared" si="8"/>
        <v>-262202.5</v>
      </c>
    </row>
    <row r="514" spans="1:6" x14ac:dyDescent="0.35">
      <c r="A514" s="40" t="s">
        <v>565</v>
      </c>
      <c r="B514" s="40" t="s">
        <v>463</v>
      </c>
      <c r="C514" s="40"/>
      <c r="D514" s="39">
        <v>7220000</v>
      </c>
      <c r="E514" s="39"/>
      <c r="F514" s="39">
        <f t="shared" si="8"/>
        <v>6957797.5</v>
      </c>
    </row>
    <row r="515" spans="1:6" x14ac:dyDescent="0.35">
      <c r="A515" s="40"/>
      <c r="B515" s="40" t="s">
        <v>464</v>
      </c>
      <c r="C515" s="40"/>
      <c r="D515" s="39">
        <v>710000</v>
      </c>
      <c r="E515" s="39"/>
      <c r="F515" s="39">
        <f t="shared" si="8"/>
        <v>7667797.5</v>
      </c>
    </row>
    <row r="516" spans="1:6" x14ac:dyDescent="0.35">
      <c r="A516" s="37"/>
      <c r="B516" s="10" t="s">
        <v>465</v>
      </c>
      <c r="C516" s="10"/>
      <c r="D516" s="44"/>
      <c r="E516" s="44">
        <v>20000</v>
      </c>
      <c r="F516" s="12">
        <f t="shared" si="8"/>
        <v>7647797.5</v>
      </c>
    </row>
    <row r="517" spans="1:6" x14ac:dyDescent="0.35">
      <c r="A517" s="37"/>
      <c r="B517" s="10" t="s">
        <v>466</v>
      </c>
      <c r="C517" s="10"/>
      <c r="D517" s="44"/>
      <c r="E517" s="44">
        <v>700000</v>
      </c>
      <c r="F517" s="12">
        <f t="shared" si="8"/>
        <v>6947797.5</v>
      </c>
    </row>
    <row r="518" spans="1:6" x14ac:dyDescent="0.35">
      <c r="A518" s="37"/>
      <c r="B518" s="10" t="s">
        <v>259</v>
      </c>
      <c r="C518" s="10"/>
      <c r="D518" s="44"/>
      <c r="E518" s="44">
        <v>7200000</v>
      </c>
      <c r="F518" s="12">
        <f t="shared" si="8"/>
        <v>-252202.5</v>
      </c>
    </row>
    <row r="519" spans="1:6" x14ac:dyDescent="0.35">
      <c r="A519" s="37"/>
      <c r="B519" s="10" t="s">
        <v>53</v>
      </c>
      <c r="C519" s="10"/>
      <c r="D519" s="44"/>
      <c r="E519" s="44">
        <v>10700</v>
      </c>
      <c r="F519" s="12">
        <f t="shared" si="8"/>
        <v>-262902.5</v>
      </c>
    </row>
    <row r="520" spans="1:6" x14ac:dyDescent="0.35">
      <c r="A520" s="45" t="s">
        <v>566</v>
      </c>
      <c r="B520" s="45" t="s">
        <v>467</v>
      </c>
      <c r="C520" s="45"/>
      <c r="D520" s="46">
        <v>4919000</v>
      </c>
      <c r="E520" s="46"/>
      <c r="F520" s="39">
        <f t="shared" si="8"/>
        <v>4656097.5</v>
      </c>
    </row>
    <row r="521" spans="1:6" x14ac:dyDescent="0.35">
      <c r="A521" s="37"/>
      <c r="B521" s="10" t="s">
        <v>468</v>
      </c>
      <c r="C521" s="10"/>
      <c r="D521" s="44"/>
      <c r="E521" s="44">
        <v>3700000</v>
      </c>
      <c r="F521" s="12">
        <f t="shared" si="8"/>
        <v>956097.5</v>
      </c>
    </row>
    <row r="522" spans="1:6" x14ac:dyDescent="0.35">
      <c r="A522" s="37"/>
      <c r="B522" s="10" t="s">
        <v>469</v>
      </c>
      <c r="C522" s="10"/>
      <c r="D522" s="44"/>
      <c r="E522" s="44">
        <v>491500</v>
      </c>
      <c r="F522" s="12">
        <f t="shared" si="8"/>
        <v>464597.5</v>
      </c>
    </row>
    <row r="523" spans="1:6" x14ac:dyDescent="0.35">
      <c r="A523" s="37"/>
      <c r="B523" s="10" t="s">
        <v>447</v>
      </c>
      <c r="C523" s="10"/>
      <c r="D523" s="44"/>
      <c r="E523" s="44">
        <v>707500</v>
      </c>
      <c r="F523" s="12">
        <f t="shared" si="8"/>
        <v>-242902.5</v>
      </c>
    </row>
    <row r="524" spans="1:6" x14ac:dyDescent="0.35">
      <c r="A524" s="37"/>
      <c r="B524" s="10" t="s">
        <v>53</v>
      </c>
      <c r="C524" s="10"/>
      <c r="D524" s="44"/>
      <c r="E524" s="44">
        <v>4600</v>
      </c>
      <c r="F524" s="12">
        <f t="shared" si="8"/>
        <v>-247502.5</v>
      </c>
    </row>
    <row r="525" spans="1:6" x14ac:dyDescent="0.35">
      <c r="A525" s="40" t="s">
        <v>567</v>
      </c>
      <c r="B525" s="40" t="s">
        <v>470</v>
      </c>
      <c r="C525" s="40"/>
      <c r="D525" s="39">
        <v>5939500</v>
      </c>
      <c r="E525" s="39"/>
      <c r="F525" s="39">
        <f t="shared" si="8"/>
        <v>5691997.5</v>
      </c>
    </row>
    <row r="526" spans="1:6" ht="15.5" x14ac:dyDescent="0.35">
      <c r="A526" s="37"/>
      <c r="B526" s="13" t="s">
        <v>471</v>
      </c>
      <c r="C526" s="10"/>
      <c r="D526" s="11"/>
      <c r="E526" s="11">
        <v>1500000</v>
      </c>
      <c r="F526" s="12">
        <f t="shared" si="8"/>
        <v>4191997.5</v>
      </c>
    </row>
    <row r="527" spans="1:6" ht="15.5" x14ac:dyDescent="0.35">
      <c r="A527" s="37"/>
      <c r="B527" s="13" t="s">
        <v>472</v>
      </c>
      <c r="C527" s="10"/>
      <c r="D527" s="11"/>
      <c r="E527" s="11">
        <v>650000</v>
      </c>
      <c r="F527" s="12">
        <f t="shared" si="8"/>
        <v>3541997.5</v>
      </c>
    </row>
    <row r="528" spans="1:6" ht="15.5" x14ac:dyDescent="0.35">
      <c r="A528" s="37"/>
      <c r="B528" s="13" t="s">
        <v>473</v>
      </c>
      <c r="C528" s="10"/>
      <c r="D528" s="11"/>
      <c r="E528" s="11">
        <v>1000000</v>
      </c>
      <c r="F528" s="12">
        <f t="shared" si="8"/>
        <v>2541997.5</v>
      </c>
    </row>
    <row r="529" spans="1:6" ht="15.5" x14ac:dyDescent="0.35">
      <c r="A529" s="37"/>
      <c r="B529" s="13" t="s">
        <v>474</v>
      </c>
      <c r="C529" s="10"/>
      <c r="D529" s="11"/>
      <c r="E529" s="11">
        <v>1000000</v>
      </c>
      <c r="F529" s="12">
        <f t="shared" ref="F529:F553" si="9">F528+D529-E529</f>
        <v>1541997.5</v>
      </c>
    </row>
    <row r="530" spans="1:6" ht="15.5" x14ac:dyDescent="0.35">
      <c r="A530" s="37"/>
      <c r="B530" s="13" t="s">
        <v>475</v>
      </c>
      <c r="C530" s="10"/>
      <c r="D530" s="11"/>
      <c r="E530" s="11">
        <v>80000</v>
      </c>
      <c r="F530" s="12">
        <f t="shared" si="9"/>
        <v>1461997.5</v>
      </c>
    </row>
    <row r="531" spans="1:6" x14ac:dyDescent="0.35">
      <c r="A531" s="37"/>
      <c r="B531" s="10" t="s">
        <v>43</v>
      </c>
      <c r="C531" s="10"/>
      <c r="D531" s="11"/>
      <c r="E531" s="11">
        <v>250000</v>
      </c>
      <c r="F531" s="12">
        <f t="shared" si="9"/>
        <v>1211997.5</v>
      </c>
    </row>
    <row r="532" spans="1:6" ht="15.5" x14ac:dyDescent="0.35">
      <c r="A532" s="37"/>
      <c r="B532" s="13" t="s">
        <v>44</v>
      </c>
      <c r="C532" s="10"/>
      <c r="D532" s="11"/>
      <c r="E532" s="11">
        <v>2300</v>
      </c>
      <c r="F532" s="12">
        <f t="shared" si="9"/>
        <v>1209697.5</v>
      </c>
    </row>
    <row r="533" spans="1:6" ht="15.5" x14ac:dyDescent="0.35">
      <c r="A533" s="37"/>
      <c r="B533" s="13" t="s">
        <v>456</v>
      </c>
      <c r="C533" s="10"/>
      <c r="D533" s="11"/>
      <c r="E533" s="11">
        <v>17200</v>
      </c>
      <c r="F533" s="12">
        <f t="shared" si="9"/>
        <v>1192497.5</v>
      </c>
    </row>
    <row r="534" spans="1:6" x14ac:dyDescent="0.35">
      <c r="A534" s="37"/>
      <c r="B534" s="14" t="s">
        <v>476</v>
      </c>
      <c r="C534" s="10"/>
      <c r="D534" s="11"/>
      <c r="E534" s="11">
        <v>200000</v>
      </c>
      <c r="F534" s="12">
        <f t="shared" si="9"/>
        <v>992497.5</v>
      </c>
    </row>
    <row r="535" spans="1:6" x14ac:dyDescent="0.35">
      <c r="A535" s="37"/>
      <c r="B535" s="14" t="s">
        <v>477</v>
      </c>
      <c r="C535" s="10"/>
      <c r="D535" s="11"/>
      <c r="E535" s="11">
        <v>200000</v>
      </c>
      <c r="F535" s="12">
        <f t="shared" si="9"/>
        <v>792497.5</v>
      </c>
    </row>
    <row r="536" spans="1:6" x14ac:dyDescent="0.35">
      <c r="A536" s="37"/>
      <c r="B536" s="14" t="s">
        <v>478</v>
      </c>
      <c r="C536" s="10"/>
      <c r="D536" s="11"/>
      <c r="E536" s="11">
        <v>35000</v>
      </c>
      <c r="F536" s="12">
        <f t="shared" si="9"/>
        <v>757497.5</v>
      </c>
    </row>
    <row r="537" spans="1:6" x14ac:dyDescent="0.35">
      <c r="A537" s="10"/>
      <c r="B537" s="14" t="s">
        <v>479</v>
      </c>
      <c r="C537" s="10"/>
      <c r="D537" s="11"/>
      <c r="E537" s="11">
        <v>35000</v>
      </c>
      <c r="F537" s="12">
        <f t="shared" si="9"/>
        <v>722497.5</v>
      </c>
    </row>
    <row r="538" spans="1:6" x14ac:dyDescent="0.35">
      <c r="A538" s="10"/>
      <c r="B538" s="14" t="s">
        <v>480</v>
      </c>
      <c r="C538" s="10"/>
      <c r="D538" s="11"/>
      <c r="E538" s="11">
        <v>35000</v>
      </c>
      <c r="F538" s="12">
        <f t="shared" si="9"/>
        <v>687497.5</v>
      </c>
    </row>
    <row r="539" spans="1:6" x14ac:dyDescent="0.35">
      <c r="A539" s="10"/>
      <c r="B539" s="14" t="s">
        <v>481</v>
      </c>
      <c r="C539" s="10"/>
      <c r="D539" s="11"/>
      <c r="E539" s="11">
        <v>50000</v>
      </c>
      <c r="F539" s="12">
        <f t="shared" si="9"/>
        <v>637497.5</v>
      </c>
    </row>
    <row r="540" spans="1:6" x14ac:dyDescent="0.35">
      <c r="A540" s="10"/>
      <c r="B540" s="10" t="s">
        <v>482</v>
      </c>
      <c r="C540" s="10"/>
      <c r="D540" s="11"/>
      <c r="E540" s="11">
        <v>20000</v>
      </c>
      <c r="F540" s="12">
        <f t="shared" si="9"/>
        <v>617497.5</v>
      </c>
    </row>
    <row r="541" spans="1:6" x14ac:dyDescent="0.35">
      <c r="A541" s="10"/>
      <c r="B541" s="10" t="s">
        <v>483</v>
      </c>
      <c r="C541" s="10"/>
      <c r="D541" s="11"/>
      <c r="E541" s="11">
        <v>80000</v>
      </c>
      <c r="F541" s="12">
        <f t="shared" si="9"/>
        <v>537497.5</v>
      </c>
    </row>
    <row r="542" spans="1:6" x14ac:dyDescent="0.35">
      <c r="A542" s="10"/>
      <c r="B542" s="10" t="s">
        <v>293</v>
      </c>
      <c r="C542" s="10"/>
      <c r="D542" s="11"/>
      <c r="E542" s="11">
        <v>20000</v>
      </c>
      <c r="F542" s="12">
        <f t="shared" si="9"/>
        <v>517497.5</v>
      </c>
    </row>
    <row r="543" spans="1:6" x14ac:dyDescent="0.35">
      <c r="A543" s="10"/>
      <c r="B543" s="10" t="s">
        <v>484</v>
      </c>
      <c r="C543" s="10"/>
      <c r="D543" s="11"/>
      <c r="E543" s="11">
        <v>25000</v>
      </c>
      <c r="F543" s="12">
        <f t="shared" si="9"/>
        <v>492497.5</v>
      </c>
    </row>
    <row r="544" spans="1:6" x14ac:dyDescent="0.35">
      <c r="A544" s="10"/>
      <c r="B544" s="10" t="s">
        <v>485</v>
      </c>
      <c r="C544" s="10"/>
      <c r="D544" s="11"/>
      <c r="E544" s="11">
        <v>20000</v>
      </c>
      <c r="F544" s="12">
        <f t="shared" si="9"/>
        <v>472497.5</v>
      </c>
    </row>
    <row r="545" spans="1:6" x14ac:dyDescent="0.35">
      <c r="A545" s="10"/>
      <c r="B545" s="10" t="s">
        <v>486</v>
      </c>
      <c r="C545" s="10"/>
      <c r="D545" s="11"/>
      <c r="E545" s="11">
        <v>20000</v>
      </c>
      <c r="F545" s="12">
        <f t="shared" si="9"/>
        <v>452497.5</v>
      </c>
    </row>
    <row r="546" spans="1:6" x14ac:dyDescent="0.35">
      <c r="A546" s="10"/>
      <c r="B546" s="10" t="s">
        <v>487</v>
      </c>
      <c r="C546" s="10"/>
      <c r="D546" s="11"/>
      <c r="E546" s="11">
        <v>700000</v>
      </c>
      <c r="F546" s="12">
        <f t="shared" si="9"/>
        <v>-247502.5</v>
      </c>
    </row>
    <row r="547" spans="1:6" x14ac:dyDescent="0.35">
      <c r="A547" s="61">
        <v>45700</v>
      </c>
      <c r="B547" s="40" t="s">
        <v>488</v>
      </c>
      <c r="C547" s="40"/>
      <c r="D547" s="39">
        <v>3000000</v>
      </c>
      <c r="E547" s="39"/>
      <c r="F547" s="39">
        <f t="shared" si="9"/>
        <v>2752497.5</v>
      </c>
    </row>
    <row r="548" spans="1:6" x14ac:dyDescent="0.35">
      <c r="A548" s="10"/>
      <c r="B548" s="10" t="s">
        <v>489</v>
      </c>
      <c r="C548" s="10"/>
      <c r="D548" s="11"/>
      <c r="E548" s="11">
        <v>2600000</v>
      </c>
      <c r="F548" s="12">
        <f t="shared" si="9"/>
        <v>152497.5</v>
      </c>
    </row>
    <row r="549" spans="1:6" x14ac:dyDescent="0.35">
      <c r="A549" s="10"/>
      <c r="B549" s="10" t="s">
        <v>490</v>
      </c>
      <c r="C549" s="10"/>
      <c r="D549" s="11"/>
      <c r="E549" s="11">
        <v>200000</v>
      </c>
      <c r="F549" s="12">
        <f t="shared" si="9"/>
        <v>-47502.5</v>
      </c>
    </row>
    <row r="550" spans="1:6" x14ac:dyDescent="0.35">
      <c r="A550" s="10"/>
      <c r="B550" s="10" t="s">
        <v>491</v>
      </c>
      <c r="C550" s="10"/>
      <c r="D550" s="11"/>
      <c r="E550" s="11">
        <v>40000</v>
      </c>
      <c r="F550" s="12">
        <f t="shared" si="9"/>
        <v>-87502.5</v>
      </c>
    </row>
    <row r="551" spans="1:6" x14ac:dyDescent="0.35">
      <c r="A551" s="10"/>
      <c r="B551" s="10" t="s">
        <v>492</v>
      </c>
      <c r="C551" s="10"/>
      <c r="D551" s="11"/>
      <c r="E551" s="11">
        <v>22800</v>
      </c>
      <c r="F551" s="12">
        <f t="shared" si="9"/>
        <v>-110302.5</v>
      </c>
    </row>
    <row r="552" spans="1:6" x14ac:dyDescent="0.35">
      <c r="A552" s="10"/>
      <c r="B552" s="10" t="s">
        <v>493</v>
      </c>
      <c r="C552" s="10"/>
      <c r="D552" s="11"/>
      <c r="E552" s="11">
        <v>77200</v>
      </c>
      <c r="F552" s="12">
        <f t="shared" si="9"/>
        <v>-187502.5</v>
      </c>
    </row>
    <row r="553" spans="1:6" x14ac:dyDescent="0.35">
      <c r="A553" s="10"/>
      <c r="B553" s="10" t="s">
        <v>494</v>
      </c>
      <c r="C553" s="10"/>
      <c r="D553" s="11"/>
      <c r="E553" s="11">
        <v>20000</v>
      </c>
      <c r="F553" s="12">
        <f t="shared" si="9"/>
        <v>-207502.5</v>
      </c>
    </row>
    <row r="554" spans="1:6" x14ac:dyDescent="0.35">
      <c r="A554" s="10"/>
      <c r="B554" s="10" t="s">
        <v>495</v>
      </c>
      <c r="C554" s="10"/>
      <c r="D554" s="11"/>
      <c r="E554" s="11">
        <v>5000</v>
      </c>
      <c r="F554" s="12">
        <f>F553+D554-E554</f>
        <v>-212502.5</v>
      </c>
    </row>
    <row r="555" spans="1:6" x14ac:dyDescent="0.35">
      <c r="A555" s="10"/>
      <c r="B555" s="10" t="s">
        <v>496</v>
      </c>
      <c r="C555" s="10"/>
      <c r="D555" s="11"/>
      <c r="E555" s="11">
        <v>35000</v>
      </c>
      <c r="F555" s="12">
        <f>F554+D555-E555</f>
        <v>-247502.5</v>
      </c>
    </row>
    <row r="556" spans="1:6" x14ac:dyDescent="0.35">
      <c r="A556" s="61">
        <v>45789</v>
      </c>
      <c r="B556" s="40" t="s">
        <v>497</v>
      </c>
      <c r="C556" s="40"/>
      <c r="D556" s="39">
        <v>6760000</v>
      </c>
      <c r="E556" s="39"/>
      <c r="F556" s="39">
        <f t="shared" ref="F556:F601" si="10">F555+D556-E556</f>
        <v>6512497.5</v>
      </c>
    </row>
    <row r="557" spans="1:6" x14ac:dyDescent="0.35">
      <c r="A557" s="60"/>
      <c r="B557" s="10" t="s">
        <v>498</v>
      </c>
      <c r="C557" s="10"/>
      <c r="D557" s="11"/>
      <c r="E557" s="11">
        <v>4760000</v>
      </c>
      <c r="F557" s="12">
        <f t="shared" si="10"/>
        <v>1752497.5</v>
      </c>
    </row>
    <row r="558" spans="1:6" x14ac:dyDescent="0.35">
      <c r="A558" s="60"/>
      <c r="B558" s="10" t="s">
        <v>499</v>
      </c>
      <c r="C558" s="10"/>
      <c r="D558" s="11"/>
      <c r="E558" s="11">
        <v>2000000</v>
      </c>
      <c r="F558" s="12">
        <f t="shared" si="10"/>
        <v>-247502.5</v>
      </c>
    </row>
    <row r="559" spans="1:6" x14ac:dyDescent="0.35">
      <c r="A559" s="61">
        <v>45912</v>
      </c>
      <c r="B559" s="40" t="s">
        <v>500</v>
      </c>
      <c r="C559" s="40"/>
      <c r="D559" s="39">
        <v>9100000</v>
      </c>
      <c r="E559" s="39"/>
      <c r="F559" s="39">
        <f t="shared" si="10"/>
        <v>8852497.5</v>
      </c>
    </row>
    <row r="560" spans="1:6" x14ac:dyDescent="0.35">
      <c r="A560" s="10"/>
      <c r="B560" s="10" t="s">
        <v>447</v>
      </c>
      <c r="C560" s="10"/>
      <c r="D560" s="11"/>
      <c r="E560" s="11">
        <v>416000</v>
      </c>
      <c r="F560" s="12">
        <f t="shared" si="10"/>
        <v>8436497.5</v>
      </c>
    </row>
    <row r="561" spans="1:6" x14ac:dyDescent="0.35">
      <c r="A561" s="10"/>
      <c r="B561" s="10" t="s">
        <v>501</v>
      </c>
      <c r="C561" s="10"/>
      <c r="D561" s="11"/>
      <c r="E561" s="11">
        <v>7750000</v>
      </c>
      <c r="F561" s="12">
        <f t="shared" si="10"/>
        <v>686497.5</v>
      </c>
    </row>
    <row r="562" spans="1:6" x14ac:dyDescent="0.35">
      <c r="A562" s="10"/>
      <c r="B562" s="10" t="s">
        <v>502</v>
      </c>
      <c r="C562" s="10"/>
      <c r="D562" s="11"/>
      <c r="E562" s="11">
        <v>700000</v>
      </c>
      <c r="F562" s="12">
        <f t="shared" si="10"/>
        <v>-13502.5</v>
      </c>
    </row>
    <row r="563" spans="1:6" x14ac:dyDescent="0.35">
      <c r="A563" s="10"/>
      <c r="B563" s="10" t="s">
        <v>503</v>
      </c>
      <c r="C563" s="10"/>
      <c r="D563" s="11"/>
      <c r="E563" s="11">
        <v>234000</v>
      </c>
      <c r="F563" s="12">
        <f t="shared" si="10"/>
        <v>-247502.5</v>
      </c>
    </row>
    <row r="564" spans="1:6" x14ac:dyDescent="0.35">
      <c r="A564" s="10"/>
      <c r="B564" s="10" t="s">
        <v>53</v>
      </c>
      <c r="C564" s="10"/>
      <c r="D564" s="11"/>
      <c r="E564" s="11">
        <v>11500</v>
      </c>
      <c r="F564" s="12">
        <f t="shared" si="10"/>
        <v>-259002.5</v>
      </c>
    </row>
    <row r="565" spans="1:6" x14ac:dyDescent="0.35">
      <c r="A565" s="61">
        <v>46003</v>
      </c>
      <c r="B565" s="40" t="s">
        <v>504</v>
      </c>
      <c r="C565" s="40"/>
      <c r="D565" s="39">
        <v>100000</v>
      </c>
      <c r="E565" s="39"/>
      <c r="F565" s="17">
        <f t="shared" si="10"/>
        <v>-159002.5</v>
      </c>
    </row>
    <row r="566" spans="1:6" x14ac:dyDescent="0.35">
      <c r="A566" s="10"/>
      <c r="B566" s="10" t="s">
        <v>458</v>
      </c>
      <c r="C566" s="10"/>
      <c r="D566" s="11"/>
      <c r="E566" s="11">
        <v>100000</v>
      </c>
      <c r="F566" s="12">
        <f t="shared" si="10"/>
        <v>-259002.5</v>
      </c>
    </row>
    <row r="567" spans="1:6" x14ac:dyDescent="0.35">
      <c r="A567" s="10"/>
      <c r="B567" s="10" t="s">
        <v>53</v>
      </c>
      <c r="C567" s="10"/>
      <c r="D567" s="11"/>
      <c r="E567" s="11">
        <v>1000</v>
      </c>
      <c r="F567" s="12">
        <f t="shared" si="10"/>
        <v>-260002.5</v>
      </c>
    </row>
    <row r="568" spans="1:6" x14ac:dyDescent="0.35">
      <c r="A568" s="40" t="s">
        <v>568</v>
      </c>
      <c r="B568" s="40" t="s">
        <v>505</v>
      </c>
      <c r="C568" s="40"/>
      <c r="D568" s="39">
        <v>1000000</v>
      </c>
      <c r="E568" s="39"/>
      <c r="F568" s="17">
        <f t="shared" si="10"/>
        <v>739997.5</v>
      </c>
    </row>
    <row r="569" spans="1:6" x14ac:dyDescent="0.35">
      <c r="A569" s="10"/>
      <c r="B569" s="10" t="s">
        <v>506</v>
      </c>
      <c r="C569" s="10"/>
      <c r="D569" s="11"/>
      <c r="E569" s="11">
        <v>1000000</v>
      </c>
      <c r="F569" s="12">
        <f t="shared" si="10"/>
        <v>-260002.5</v>
      </c>
    </row>
    <row r="570" spans="1:6" x14ac:dyDescent="0.35">
      <c r="A570" s="10"/>
      <c r="B570" s="10" t="s">
        <v>53</v>
      </c>
      <c r="C570" s="10"/>
      <c r="D570" s="11"/>
      <c r="E570" s="11">
        <v>1500</v>
      </c>
      <c r="F570" s="12">
        <f t="shared" si="10"/>
        <v>-261502.5</v>
      </c>
    </row>
    <row r="571" spans="1:6" x14ac:dyDescent="0.35">
      <c r="A571" s="40" t="s">
        <v>569</v>
      </c>
      <c r="B571" s="40" t="s">
        <v>507</v>
      </c>
      <c r="C571" s="40"/>
      <c r="D571" s="39">
        <v>4000000</v>
      </c>
      <c r="E571" s="39"/>
      <c r="F571" s="17">
        <f t="shared" si="10"/>
        <v>3738497.5</v>
      </c>
    </row>
    <row r="572" spans="1:6" x14ac:dyDescent="0.35">
      <c r="A572" s="10"/>
      <c r="B572" s="10" t="s">
        <v>411</v>
      </c>
      <c r="C572" s="10"/>
      <c r="D572" s="11"/>
      <c r="E572" s="11">
        <v>4000000</v>
      </c>
      <c r="F572" s="12">
        <f t="shared" si="10"/>
        <v>-261502.5</v>
      </c>
    </row>
    <row r="573" spans="1:6" x14ac:dyDescent="0.35">
      <c r="A573" s="10"/>
      <c r="B573" s="10" t="s">
        <v>53</v>
      </c>
      <c r="C573" s="10"/>
      <c r="D573" s="11"/>
      <c r="E573" s="11">
        <v>5000</v>
      </c>
      <c r="F573" s="12">
        <f t="shared" si="10"/>
        <v>-266502.5</v>
      </c>
    </row>
    <row r="574" spans="1:6" x14ac:dyDescent="0.35">
      <c r="A574" s="40" t="s">
        <v>570</v>
      </c>
      <c r="B574" s="40" t="s">
        <v>505</v>
      </c>
      <c r="C574" s="40"/>
      <c r="D574" s="39">
        <v>2000000</v>
      </c>
      <c r="E574" s="39"/>
      <c r="F574" s="17">
        <f t="shared" si="10"/>
        <v>1733497.5</v>
      </c>
    </row>
    <row r="575" spans="1:6" x14ac:dyDescent="0.35">
      <c r="A575" s="40" t="s">
        <v>570</v>
      </c>
      <c r="B575" s="40" t="s">
        <v>505</v>
      </c>
      <c r="C575" s="40"/>
      <c r="D575" s="39">
        <v>10000</v>
      </c>
      <c r="E575" s="39"/>
      <c r="F575" s="17">
        <f t="shared" si="10"/>
        <v>1743497.5</v>
      </c>
    </row>
    <row r="576" spans="1:6" x14ac:dyDescent="0.35">
      <c r="A576" s="10"/>
      <c r="B576" s="10" t="s">
        <v>508</v>
      </c>
      <c r="C576" s="10"/>
      <c r="D576" s="11"/>
      <c r="E576" s="11">
        <v>2000000</v>
      </c>
      <c r="F576" s="12">
        <f t="shared" si="10"/>
        <v>-256502.5</v>
      </c>
    </row>
    <row r="577" spans="1:6" x14ac:dyDescent="0.35">
      <c r="A577" s="10"/>
      <c r="B577" s="10" t="s">
        <v>53</v>
      </c>
      <c r="C577" s="10"/>
      <c r="D577" s="11"/>
      <c r="E577" s="11">
        <v>2000</v>
      </c>
      <c r="F577" s="12">
        <f t="shared" si="10"/>
        <v>-258502.5</v>
      </c>
    </row>
    <row r="578" spans="1:6" x14ac:dyDescent="0.35">
      <c r="A578" s="40" t="s">
        <v>571</v>
      </c>
      <c r="B578" s="40" t="s">
        <v>505</v>
      </c>
      <c r="C578" s="40"/>
      <c r="D578" s="39">
        <v>4169000</v>
      </c>
      <c r="E578" s="39"/>
      <c r="F578" s="47">
        <f t="shared" si="10"/>
        <v>3910497.5</v>
      </c>
    </row>
    <row r="579" spans="1:6" x14ac:dyDescent="0.35">
      <c r="A579" s="40" t="s">
        <v>571</v>
      </c>
      <c r="B579" s="40" t="s">
        <v>505</v>
      </c>
      <c r="C579" s="40"/>
      <c r="D579" s="39">
        <v>20000</v>
      </c>
      <c r="E579" s="39"/>
      <c r="F579" s="47">
        <f t="shared" si="10"/>
        <v>3930497.5</v>
      </c>
    </row>
    <row r="580" spans="1:6" ht="15.5" x14ac:dyDescent="0.35">
      <c r="A580" s="10"/>
      <c r="B580" s="13" t="s">
        <v>17</v>
      </c>
      <c r="C580" s="10"/>
      <c r="D580" s="11"/>
      <c r="E580" s="11">
        <v>1073000</v>
      </c>
      <c r="F580" s="12">
        <f t="shared" si="10"/>
        <v>2857497.5</v>
      </c>
    </row>
    <row r="581" spans="1:6" ht="15.5" x14ac:dyDescent="0.35">
      <c r="A581" s="10"/>
      <c r="B581" s="13" t="s">
        <v>509</v>
      </c>
      <c r="C581" s="10"/>
      <c r="D581" s="11"/>
      <c r="E581" s="11">
        <v>748000</v>
      </c>
      <c r="F581" s="12">
        <f t="shared" si="10"/>
        <v>2109497.5</v>
      </c>
    </row>
    <row r="582" spans="1:6" ht="15.5" x14ac:dyDescent="0.35">
      <c r="A582" s="10"/>
      <c r="B582" s="13" t="s">
        <v>510</v>
      </c>
      <c r="C582" s="10"/>
      <c r="D582" s="11"/>
      <c r="E582" s="11">
        <v>693000</v>
      </c>
      <c r="F582" s="12">
        <f t="shared" si="10"/>
        <v>1416497.5</v>
      </c>
    </row>
    <row r="583" spans="1:6" ht="15.5" x14ac:dyDescent="0.35">
      <c r="A583" s="10"/>
      <c r="B583" s="13" t="s">
        <v>18</v>
      </c>
      <c r="C583" s="10"/>
      <c r="D583" s="11"/>
      <c r="E583" s="11">
        <v>1000000</v>
      </c>
      <c r="F583" s="12">
        <f t="shared" si="10"/>
        <v>416497.5</v>
      </c>
    </row>
    <row r="584" spans="1:6" ht="15.5" x14ac:dyDescent="0.35">
      <c r="A584" s="10"/>
      <c r="B584" s="13" t="s">
        <v>511</v>
      </c>
      <c r="C584" s="10"/>
      <c r="D584" s="11"/>
      <c r="E584" s="11">
        <v>80000</v>
      </c>
      <c r="F584" s="12">
        <f t="shared" si="10"/>
        <v>336497.5</v>
      </c>
    </row>
    <row r="585" spans="1:6" x14ac:dyDescent="0.35">
      <c r="A585" s="10"/>
      <c r="B585" s="14" t="s">
        <v>19</v>
      </c>
      <c r="C585" s="10"/>
      <c r="D585" s="11"/>
      <c r="E585" s="11">
        <v>200000</v>
      </c>
      <c r="F585" s="12">
        <f t="shared" si="10"/>
        <v>136497.5</v>
      </c>
    </row>
    <row r="586" spans="1:6" x14ac:dyDescent="0.35">
      <c r="A586" s="10"/>
      <c r="B586" s="14" t="s">
        <v>512</v>
      </c>
      <c r="C586" s="10"/>
      <c r="D586" s="11"/>
      <c r="E586" s="11">
        <v>200000</v>
      </c>
      <c r="F586" s="12">
        <f t="shared" si="10"/>
        <v>-63502.5</v>
      </c>
    </row>
    <row r="587" spans="1:6" x14ac:dyDescent="0.35">
      <c r="A587" s="10"/>
      <c r="B587" s="14" t="s">
        <v>20</v>
      </c>
      <c r="C587" s="10"/>
      <c r="D587" s="11"/>
      <c r="E587" s="11">
        <v>35000</v>
      </c>
      <c r="F587" s="12">
        <f t="shared" si="10"/>
        <v>-98502.5</v>
      </c>
    </row>
    <row r="588" spans="1:6" x14ac:dyDescent="0.35">
      <c r="A588" s="10"/>
      <c r="B588" s="14" t="s">
        <v>513</v>
      </c>
      <c r="C588" s="10"/>
      <c r="D588" s="11"/>
      <c r="E588" s="11">
        <v>35000</v>
      </c>
      <c r="F588" s="12">
        <f t="shared" si="10"/>
        <v>-133502.5</v>
      </c>
    </row>
    <row r="589" spans="1:6" x14ac:dyDescent="0.35">
      <c r="A589" s="10"/>
      <c r="B589" s="14" t="s">
        <v>514</v>
      </c>
      <c r="C589" s="10"/>
      <c r="D589" s="11"/>
      <c r="E589" s="11">
        <v>35000</v>
      </c>
      <c r="F589" s="12">
        <f t="shared" si="10"/>
        <v>-168502.5</v>
      </c>
    </row>
    <row r="590" spans="1:6" x14ac:dyDescent="0.35">
      <c r="A590" s="10"/>
      <c r="B590" s="10" t="s">
        <v>515</v>
      </c>
      <c r="C590" s="10"/>
      <c r="D590" s="11"/>
      <c r="E590" s="11">
        <v>52000</v>
      </c>
      <c r="F590" s="12">
        <f t="shared" si="10"/>
        <v>-220502.5</v>
      </c>
    </row>
    <row r="591" spans="1:6" x14ac:dyDescent="0.35">
      <c r="A591" s="10"/>
      <c r="B591" s="10" t="s">
        <v>53</v>
      </c>
      <c r="C591" s="10"/>
      <c r="D591" s="11"/>
      <c r="E591" s="11">
        <v>6300</v>
      </c>
      <c r="F591" s="12">
        <f t="shared" si="10"/>
        <v>-226802.5</v>
      </c>
    </row>
    <row r="592" spans="1:6" x14ac:dyDescent="0.35">
      <c r="A592" s="40" t="s">
        <v>572</v>
      </c>
      <c r="B592" s="40" t="s">
        <v>516</v>
      </c>
      <c r="C592" s="40"/>
      <c r="D592" s="39">
        <v>1591500</v>
      </c>
      <c r="E592" s="39"/>
      <c r="F592" s="17">
        <f t="shared" si="10"/>
        <v>1364697.5</v>
      </c>
    </row>
    <row r="593" spans="1:6" x14ac:dyDescent="0.35">
      <c r="A593" s="10"/>
      <c r="B593" s="10" t="s">
        <v>517</v>
      </c>
      <c r="C593" s="10"/>
      <c r="D593" s="11"/>
      <c r="E593" s="11">
        <v>500000</v>
      </c>
      <c r="F593" s="12">
        <f t="shared" si="10"/>
        <v>864697.5</v>
      </c>
    </row>
    <row r="594" spans="1:6" x14ac:dyDescent="0.35">
      <c r="A594" s="10"/>
      <c r="B594" s="14" t="s">
        <v>518</v>
      </c>
      <c r="C594" s="10"/>
      <c r="D594" s="11"/>
      <c r="E594" s="11">
        <v>50000</v>
      </c>
      <c r="F594" s="12">
        <f t="shared" si="10"/>
        <v>814697.5</v>
      </c>
    </row>
    <row r="595" spans="1:6" x14ac:dyDescent="0.35">
      <c r="A595" s="10"/>
      <c r="B595" s="10" t="s">
        <v>519</v>
      </c>
      <c r="C595" s="10"/>
      <c r="D595" s="11"/>
      <c r="E595" s="11">
        <v>554000</v>
      </c>
      <c r="F595" s="12">
        <f t="shared" si="10"/>
        <v>260697.5</v>
      </c>
    </row>
    <row r="596" spans="1:6" x14ac:dyDescent="0.35">
      <c r="A596" s="10"/>
      <c r="B596" s="10" t="s">
        <v>43</v>
      </c>
      <c r="C596" s="10"/>
      <c r="D596" s="11"/>
      <c r="E596" s="11">
        <v>375000</v>
      </c>
      <c r="F596" s="12">
        <f t="shared" si="10"/>
        <v>-114302.5</v>
      </c>
    </row>
    <row r="597" spans="1:6" x14ac:dyDescent="0.35">
      <c r="A597" s="10"/>
      <c r="B597" s="10" t="s">
        <v>44</v>
      </c>
      <c r="C597" s="10"/>
      <c r="D597" s="11"/>
      <c r="E597" s="11">
        <v>2300</v>
      </c>
      <c r="F597" s="12">
        <f t="shared" si="10"/>
        <v>-116602.5</v>
      </c>
    </row>
    <row r="598" spans="1:6" x14ac:dyDescent="0.35">
      <c r="A598" s="10"/>
      <c r="B598" s="10" t="s">
        <v>45</v>
      </c>
      <c r="C598" s="10"/>
      <c r="D598" s="11"/>
      <c r="E598" s="11">
        <v>17200</v>
      </c>
      <c r="F598" s="12">
        <f t="shared" si="10"/>
        <v>-133802.5</v>
      </c>
    </row>
    <row r="599" spans="1:6" x14ac:dyDescent="0.35">
      <c r="A599" s="10"/>
      <c r="B599" s="10" t="s">
        <v>520</v>
      </c>
      <c r="C599" s="10"/>
      <c r="D599" s="11"/>
      <c r="E599" s="11">
        <v>93000</v>
      </c>
      <c r="F599" s="12">
        <f t="shared" si="10"/>
        <v>-226802.5</v>
      </c>
    </row>
    <row r="600" spans="1:6" x14ac:dyDescent="0.35">
      <c r="A600" s="10"/>
      <c r="B600" s="10" t="s">
        <v>13</v>
      </c>
      <c r="C600" s="10"/>
      <c r="D600" s="11"/>
      <c r="E600" s="11">
        <v>1600</v>
      </c>
      <c r="F600" s="12">
        <f t="shared" si="10"/>
        <v>-228402.5</v>
      </c>
    </row>
    <row r="601" spans="1:6" x14ac:dyDescent="0.35">
      <c r="A601" s="10"/>
      <c r="B601" s="10"/>
      <c r="C601" s="10"/>
      <c r="D601" s="11"/>
      <c r="E601" s="11"/>
      <c r="F601" s="12">
        <f t="shared" si="10"/>
        <v>-228402.5</v>
      </c>
    </row>
    <row r="602" spans="1:6" x14ac:dyDescent="0.35">
      <c r="A602" s="10"/>
      <c r="B602" s="10"/>
      <c r="C602" s="10"/>
      <c r="D602" s="11"/>
      <c r="E602" s="11"/>
      <c r="F602" s="11"/>
    </row>
    <row r="603" spans="1:6" x14ac:dyDescent="0.35">
      <c r="A603" s="48"/>
      <c r="B603" s="48" t="s">
        <v>521</v>
      </c>
      <c r="C603" s="48"/>
      <c r="D603" s="49">
        <f>SUM(D4:D602)</f>
        <v>416367891</v>
      </c>
      <c r="E603" s="49">
        <f>SUM(E4:E602)</f>
        <v>416599893.5</v>
      </c>
      <c r="F603" s="49">
        <f>D603-E603+F4</f>
        <v>-228402.5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opLeftCell="A74" workbookViewId="0">
      <selection activeCell="B89" sqref="B89"/>
    </sheetView>
  </sheetViews>
  <sheetFormatPr defaultRowHeight="14.5" x14ac:dyDescent="0.35"/>
  <cols>
    <col min="2" max="2" width="84.6328125" customWidth="1"/>
    <col min="4" max="4" width="14.453125" customWidth="1"/>
    <col min="5" max="5" width="15.26953125" customWidth="1"/>
    <col min="6" max="6" width="16.26953125" customWidth="1"/>
  </cols>
  <sheetData>
    <row r="1" spans="1:6" s="4" customFormat="1" x14ac:dyDescent="0.35">
      <c r="A1" s="1" t="s">
        <v>0</v>
      </c>
      <c r="B1" s="2" t="s">
        <v>1</v>
      </c>
      <c r="C1" s="3"/>
      <c r="D1" s="3"/>
      <c r="E1" s="3" t="s">
        <v>2</v>
      </c>
      <c r="F1" s="3" t="s">
        <v>3</v>
      </c>
    </row>
    <row r="2" spans="1:6" s="4" customFormat="1" x14ac:dyDescent="0.35">
      <c r="A2" s="5"/>
      <c r="B2" s="6" t="s">
        <v>4</v>
      </c>
      <c r="C2" s="3"/>
      <c r="D2" s="3"/>
      <c r="E2" s="3"/>
      <c r="F2" s="3">
        <f>'[1]CASHBOOK JULY 2025-JUNE 2026'!G332</f>
        <v>46015.5</v>
      </c>
    </row>
    <row r="3" spans="1:6" x14ac:dyDescent="0.35">
      <c r="A3" s="7" t="s">
        <v>5</v>
      </c>
      <c r="B3" s="7" t="s">
        <v>6</v>
      </c>
      <c r="C3" s="7"/>
      <c r="D3" s="8">
        <v>1305000</v>
      </c>
      <c r="E3" s="8"/>
      <c r="F3" s="9">
        <f>F2+D3-E3</f>
        <v>1351015.5</v>
      </c>
    </row>
    <row r="4" spans="1:6" x14ac:dyDescent="0.35">
      <c r="A4" s="10"/>
      <c r="B4" s="10" t="s">
        <v>7</v>
      </c>
      <c r="C4" s="10"/>
      <c r="D4" s="11"/>
      <c r="E4" s="11">
        <v>10000</v>
      </c>
      <c r="F4" s="12">
        <f t="shared" ref="F4:F67" si="0">F3+D4-E4</f>
        <v>1341015.5</v>
      </c>
    </row>
    <row r="5" spans="1:6" x14ac:dyDescent="0.35">
      <c r="A5" s="10"/>
      <c r="B5" s="10" t="s">
        <v>8</v>
      </c>
      <c r="C5" s="10"/>
      <c r="D5" s="11"/>
      <c r="E5" s="11">
        <v>40000</v>
      </c>
      <c r="F5" s="12">
        <f t="shared" si="0"/>
        <v>1301015.5</v>
      </c>
    </row>
    <row r="6" spans="1:6" x14ac:dyDescent="0.35">
      <c r="A6" s="10"/>
      <c r="B6" s="10" t="s">
        <v>9</v>
      </c>
      <c r="C6" s="10"/>
      <c r="D6" s="11"/>
      <c r="E6" s="11">
        <v>230000</v>
      </c>
      <c r="F6" s="12">
        <f t="shared" si="0"/>
        <v>1071015.5</v>
      </c>
    </row>
    <row r="7" spans="1:6" x14ac:dyDescent="0.35">
      <c r="A7" s="10"/>
      <c r="B7" s="10" t="s">
        <v>10</v>
      </c>
      <c r="C7" s="10"/>
      <c r="D7" s="11"/>
      <c r="E7" s="11">
        <v>300000</v>
      </c>
      <c r="F7" s="12">
        <f t="shared" si="0"/>
        <v>771015.5</v>
      </c>
    </row>
    <row r="8" spans="1:6" x14ac:dyDescent="0.35">
      <c r="A8" s="10"/>
      <c r="B8" s="10" t="s">
        <v>11</v>
      </c>
      <c r="C8" s="10"/>
      <c r="D8" s="11"/>
      <c r="E8" s="11">
        <v>25000</v>
      </c>
      <c r="F8" s="12">
        <f t="shared" si="0"/>
        <v>746015.5</v>
      </c>
    </row>
    <row r="9" spans="1:6" x14ac:dyDescent="0.35">
      <c r="A9" s="10" t="s">
        <v>5</v>
      </c>
      <c r="B9" s="10" t="s">
        <v>12</v>
      </c>
      <c r="C9" s="10"/>
      <c r="D9" s="11"/>
      <c r="E9" s="11">
        <v>700000</v>
      </c>
      <c r="F9" s="12">
        <f t="shared" si="0"/>
        <v>46015.5</v>
      </c>
    </row>
    <row r="10" spans="1:6" x14ac:dyDescent="0.35">
      <c r="A10" s="10"/>
      <c r="B10" s="10" t="s">
        <v>13</v>
      </c>
      <c r="C10" s="10"/>
      <c r="D10" s="11"/>
      <c r="E10" s="11">
        <v>3100</v>
      </c>
      <c r="F10" s="12">
        <f t="shared" si="0"/>
        <v>42915.5</v>
      </c>
    </row>
    <row r="11" spans="1:6" x14ac:dyDescent="0.35">
      <c r="A11" s="10"/>
      <c r="B11" s="10" t="s">
        <v>14</v>
      </c>
      <c r="C11" s="10"/>
      <c r="D11" s="11">
        <v>6334</v>
      </c>
      <c r="E11" s="11"/>
      <c r="F11" s="12">
        <f t="shared" si="0"/>
        <v>49249.5</v>
      </c>
    </row>
    <row r="12" spans="1:6" x14ac:dyDescent="0.35">
      <c r="A12" s="10" t="s">
        <v>15</v>
      </c>
      <c r="B12" s="10" t="s">
        <v>16</v>
      </c>
      <c r="C12" s="10"/>
      <c r="D12" s="11">
        <v>4758000</v>
      </c>
      <c r="E12" s="11"/>
      <c r="F12" s="12">
        <f t="shared" si="0"/>
        <v>4807249.5</v>
      </c>
    </row>
    <row r="13" spans="1:6" ht="15.5" x14ac:dyDescent="0.35">
      <c r="A13" s="10"/>
      <c r="B13" s="13" t="s">
        <v>17</v>
      </c>
      <c r="C13" s="10"/>
      <c r="D13" s="11"/>
      <c r="E13" s="11">
        <v>1073000</v>
      </c>
      <c r="F13" s="12">
        <f t="shared" si="0"/>
        <v>3734249.5</v>
      </c>
    </row>
    <row r="14" spans="1:6" ht="15.5" x14ac:dyDescent="0.35">
      <c r="A14" s="10"/>
      <c r="B14" s="13" t="s">
        <v>18</v>
      </c>
      <c r="C14" s="10"/>
      <c r="D14" s="11"/>
      <c r="E14" s="11">
        <v>1300000</v>
      </c>
      <c r="F14" s="12">
        <f t="shared" si="0"/>
        <v>2434249.5</v>
      </c>
    </row>
    <row r="15" spans="1:6" x14ac:dyDescent="0.35">
      <c r="A15" s="10"/>
      <c r="B15" s="14" t="s">
        <v>19</v>
      </c>
      <c r="C15" s="10"/>
      <c r="D15" s="11"/>
      <c r="E15" s="11">
        <v>200000</v>
      </c>
      <c r="F15" s="12">
        <f t="shared" si="0"/>
        <v>2234249.5</v>
      </c>
    </row>
    <row r="16" spans="1:6" x14ac:dyDescent="0.35">
      <c r="A16" s="10"/>
      <c r="B16" s="14" t="s">
        <v>20</v>
      </c>
      <c r="C16" s="10"/>
      <c r="D16" s="11"/>
      <c r="E16" s="11">
        <v>35000</v>
      </c>
      <c r="F16" s="12">
        <f t="shared" si="0"/>
        <v>2199249.5</v>
      </c>
    </row>
    <row r="17" spans="1:6" x14ac:dyDescent="0.35">
      <c r="A17" s="10" t="s">
        <v>21</v>
      </c>
      <c r="B17" s="10" t="s">
        <v>22</v>
      </c>
      <c r="C17" s="10"/>
      <c r="D17" s="11"/>
      <c r="E17" s="11">
        <v>2000000</v>
      </c>
      <c r="F17" s="12">
        <f t="shared" si="0"/>
        <v>199249.5</v>
      </c>
    </row>
    <row r="18" spans="1:6" x14ac:dyDescent="0.35">
      <c r="A18" s="10" t="s">
        <v>23</v>
      </c>
      <c r="B18" s="10" t="s">
        <v>24</v>
      </c>
      <c r="C18" s="10"/>
      <c r="D18" s="11"/>
      <c r="E18" s="11">
        <v>150000</v>
      </c>
      <c r="F18" s="12">
        <f t="shared" si="0"/>
        <v>49249.5</v>
      </c>
    </row>
    <row r="19" spans="1:6" x14ac:dyDescent="0.35">
      <c r="A19" s="15">
        <v>46114</v>
      </c>
      <c r="B19" s="16" t="s">
        <v>25</v>
      </c>
      <c r="C19" s="16"/>
      <c r="D19" s="17">
        <v>101000</v>
      </c>
      <c r="E19" s="17"/>
      <c r="F19" s="17">
        <f t="shared" si="0"/>
        <v>150249.5</v>
      </c>
    </row>
    <row r="20" spans="1:6" x14ac:dyDescent="0.35">
      <c r="A20" s="10"/>
      <c r="B20" s="10" t="s">
        <v>26</v>
      </c>
      <c r="C20" s="10"/>
      <c r="D20" s="11"/>
      <c r="E20" s="11">
        <v>100000</v>
      </c>
      <c r="F20" s="12">
        <f t="shared" si="0"/>
        <v>50249.5</v>
      </c>
    </row>
    <row r="21" spans="1:6" x14ac:dyDescent="0.35">
      <c r="A21" s="10"/>
      <c r="B21" s="10" t="s">
        <v>27</v>
      </c>
      <c r="C21" s="10"/>
      <c r="D21" s="11"/>
      <c r="E21" s="11">
        <v>1000</v>
      </c>
      <c r="F21" s="12">
        <f t="shared" si="0"/>
        <v>49249.5</v>
      </c>
    </row>
    <row r="22" spans="1:6" x14ac:dyDescent="0.35">
      <c r="A22" s="15">
        <v>46175</v>
      </c>
      <c r="B22" s="16" t="s">
        <v>28</v>
      </c>
      <c r="C22" s="16"/>
      <c r="D22" s="17">
        <v>105000</v>
      </c>
      <c r="E22" s="17"/>
      <c r="F22" s="17">
        <f t="shared" si="0"/>
        <v>154249.5</v>
      </c>
    </row>
    <row r="23" spans="1:6" x14ac:dyDescent="0.35">
      <c r="A23" s="10"/>
      <c r="B23" s="10" t="s">
        <v>29</v>
      </c>
      <c r="C23" s="10"/>
      <c r="D23" s="11"/>
      <c r="E23" s="11">
        <v>105000</v>
      </c>
      <c r="F23" s="12">
        <f t="shared" si="0"/>
        <v>49249.5</v>
      </c>
    </row>
    <row r="24" spans="1:6" x14ac:dyDescent="0.35">
      <c r="A24" s="10"/>
      <c r="B24" s="10" t="s">
        <v>30</v>
      </c>
      <c r="C24" s="10"/>
      <c r="D24" s="11"/>
      <c r="E24" s="11">
        <v>600</v>
      </c>
      <c r="F24" s="12">
        <f t="shared" si="0"/>
        <v>48649.5</v>
      </c>
    </row>
    <row r="25" spans="1:6" x14ac:dyDescent="0.35">
      <c r="A25" s="16" t="s">
        <v>31</v>
      </c>
      <c r="B25" s="16" t="s">
        <v>32</v>
      </c>
      <c r="C25" s="16"/>
      <c r="D25" s="17">
        <v>5883500</v>
      </c>
      <c r="E25" s="17"/>
      <c r="F25" s="17">
        <f t="shared" si="0"/>
        <v>5932149.5</v>
      </c>
    </row>
    <row r="26" spans="1:6" x14ac:dyDescent="0.35">
      <c r="A26" s="10"/>
      <c r="B26" s="10" t="s">
        <v>33</v>
      </c>
      <c r="C26" s="10"/>
      <c r="D26" s="11"/>
      <c r="E26" s="11">
        <v>700000</v>
      </c>
      <c r="F26" s="12">
        <f t="shared" si="0"/>
        <v>5232149.5</v>
      </c>
    </row>
    <row r="27" spans="1:6" x14ac:dyDescent="0.35">
      <c r="A27" s="10"/>
      <c r="B27" s="10" t="s">
        <v>34</v>
      </c>
      <c r="C27" s="10"/>
      <c r="D27" s="11"/>
      <c r="E27" s="11">
        <v>80000</v>
      </c>
      <c r="F27" s="12">
        <f t="shared" si="0"/>
        <v>5152149.5</v>
      </c>
    </row>
    <row r="28" spans="1:6" x14ac:dyDescent="0.35">
      <c r="A28" s="10"/>
      <c r="B28" s="10" t="s">
        <v>35</v>
      </c>
      <c r="C28" s="10"/>
      <c r="D28" s="11"/>
      <c r="E28" s="11">
        <v>20000</v>
      </c>
      <c r="F28" s="12">
        <f t="shared" si="0"/>
        <v>5132149.5</v>
      </c>
    </row>
    <row r="29" spans="1:6" x14ac:dyDescent="0.35">
      <c r="A29" s="10"/>
      <c r="B29" s="10" t="s">
        <v>36</v>
      </c>
      <c r="C29" s="10"/>
      <c r="D29" s="11"/>
      <c r="E29" s="11">
        <v>500000</v>
      </c>
      <c r="F29" s="12">
        <f t="shared" si="0"/>
        <v>4632149.5</v>
      </c>
    </row>
    <row r="30" spans="1:6" x14ac:dyDescent="0.35">
      <c r="A30" s="10"/>
      <c r="B30" s="14" t="s">
        <v>37</v>
      </c>
      <c r="C30" s="10"/>
      <c r="D30" s="11"/>
      <c r="E30" s="11">
        <v>200000</v>
      </c>
      <c r="F30" s="12">
        <f t="shared" si="0"/>
        <v>4432149.5</v>
      </c>
    </row>
    <row r="31" spans="1:6" x14ac:dyDescent="0.35">
      <c r="A31" s="10"/>
      <c r="B31" s="14" t="s">
        <v>38</v>
      </c>
      <c r="C31" s="10"/>
      <c r="D31" s="11"/>
      <c r="E31" s="11">
        <v>200000</v>
      </c>
      <c r="F31" s="12">
        <f t="shared" si="0"/>
        <v>4232149.5</v>
      </c>
    </row>
    <row r="32" spans="1:6" x14ac:dyDescent="0.35">
      <c r="A32" s="10"/>
      <c r="B32" s="14" t="s">
        <v>39</v>
      </c>
      <c r="C32" s="10"/>
      <c r="D32" s="11"/>
      <c r="E32" s="11">
        <v>35000</v>
      </c>
      <c r="F32" s="12">
        <f t="shared" si="0"/>
        <v>4197149.5</v>
      </c>
    </row>
    <row r="33" spans="1:6" x14ac:dyDescent="0.35">
      <c r="A33" s="10"/>
      <c r="B33" s="14" t="s">
        <v>40</v>
      </c>
      <c r="C33" s="10"/>
      <c r="D33" s="11"/>
      <c r="E33" s="11">
        <v>35000</v>
      </c>
      <c r="F33" s="12">
        <f t="shared" si="0"/>
        <v>4162149.5</v>
      </c>
    </row>
    <row r="34" spans="1:6" x14ac:dyDescent="0.35">
      <c r="A34" s="10"/>
      <c r="B34" s="10" t="s">
        <v>41</v>
      </c>
      <c r="C34" s="10"/>
      <c r="D34" s="11"/>
      <c r="E34" s="11">
        <v>2900000</v>
      </c>
      <c r="F34" s="12">
        <f t="shared" si="0"/>
        <v>1262149.5</v>
      </c>
    </row>
    <row r="35" spans="1:6" x14ac:dyDescent="0.35">
      <c r="A35" s="10"/>
      <c r="B35" s="10" t="s">
        <v>42</v>
      </c>
      <c r="C35" s="10"/>
      <c r="D35" s="11"/>
      <c r="E35" s="11">
        <v>554000</v>
      </c>
      <c r="F35" s="12">
        <f t="shared" si="0"/>
        <v>708149.5</v>
      </c>
    </row>
    <row r="36" spans="1:6" x14ac:dyDescent="0.35">
      <c r="A36" s="10"/>
      <c r="B36" s="10" t="s">
        <v>43</v>
      </c>
      <c r="C36" s="10"/>
      <c r="D36" s="11"/>
      <c r="E36" s="11">
        <v>375000</v>
      </c>
      <c r="F36" s="12">
        <f t="shared" si="0"/>
        <v>333149.5</v>
      </c>
    </row>
    <row r="37" spans="1:6" x14ac:dyDescent="0.35">
      <c r="A37" s="10"/>
      <c r="B37" s="10" t="s">
        <v>44</v>
      </c>
      <c r="C37" s="10"/>
      <c r="D37" s="11"/>
      <c r="E37" s="11">
        <v>2300</v>
      </c>
      <c r="F37" s="12">
        <f t="shared" si="0"/>
        <v>330849.5</v>
      </c>
    </row>
    <row r="38" spans="1:6" x14ac:dyDescent="0.35">
      <c r="A38" s="10"/>
      <c r="B38" s="10" t="s">
        <v>45</v>
      </c>
      <c r="C38" s="10"/>
      <c r="D38" s="11"/>
      <c r="E38" s="11">
        <v>17200</v>
      </c>
      <c r="F38" s="12">
        <f t="shared" si="0"/>
        <v>313649.5</v>
      </c>
    </row>
    <row r="39" spans="1:6" x14ac:dyDescent="0.35">
      <c r="A39" s="10"/>
      <c r="B39" s="10" t="s">
        <v>46</v>
      </c>
      <c r="C39" s="10"/>
      <c r="D39" s="11"/>
      <c r="E39" s="11">
        <v>15000</v>
      </c>
      <c r="F39" s="12">
        <f t="shared" si="0"/>
        <v>298649.5</v>
      </c>
    </row>
    <row r="40" spans="1:6" x14ac:dyDescent="0.35">
      <c r="A40" s="10"/>
      <c r="B40" s="10" t="s">
        <v>30</v>
      </c>
      <c r="C40" s="10"/>
      <c r="D40" s="11"/>
      <c r="E40" s="11">
        <v>7500</v>
      </c>
      <c r="F40" s="12">
        <f t="shared" si="0"/>
        <v>291149.5</v>
      </c>
    </row>
    <row r="41" spans="1:6" x14ac:dyDescent="0.35">
      <c r="A41" s="16" t="s">
        <v>47</v>
      </c>
      <c r="B41" s="16" t="s">
        <v>48</v>
      </c>
      <c r="C41" s="16"/>
      <c r="D41" s="17">
        <v>241000</v>
      </c>
      <c r="E41" s="17"/>
      <c r="F41" s="17">
        <f t="shared" si="0"/>
        <v>532149.5</v>
      </c>
    </row>
    <row r="42" spans="1:6" x14ac:dyDescent="0.35">
      <c r="A42" s="10"/>
      <c r="B42" s="10" t="s">
        <v>49</v>
      </c>
      <c r="C42" s="10"/>
      <c r="D42" s="11"/>
      <c r="E42" s="11">
        <v>210000</v>
      </c>
      <c r="F42" s="12">
        <f t="shared" si="0"/>
        <v>322149.5</v>
      </c>
    </row>
    <row r="43" spans="1:6" x14ac:dyDescent="0.35">
      <c r="A43" s="10"/>
      <c r="B43" s="10" t="s">
        <v>50</v>
      </c>
      <c r="C43" s="10"/>
      <c r="D43" s="11"/>
      <c r="E43" s="11">
        <v>50000</v>
      </c>
      <c r="F43" s="12">
        <f t="shared" si="0"/>
        <v>272149.5</v>
      </c>
    </row>
    <row r="44" spans="1:6" x14ac:dyDescent="0.35">
      <c r="A44" s="10"/>
      <c r="B44" s="10" t="s">
        <v>51</v>
      </c>
      <c r="C44" s="10"/>
      <c r="D44" s="11"/>
      <c r="E44" s="11">
        <v>141000</v>
      </c>
      <c r="F44" s="12">
        <f t="shared" si="0"/>
        <v>131149.5</v>
      </c>
    </row>
    <row r="45" spans="1:6" x14ac:dyDescent="0.35">
      <c r="A45" s="10"/>
      <c r="B45" s="10" t="s">
        <v>52</v>
      </c>
      <c r="C45" s="10"/>
      <c r="D45" s="11"/>
      <c r="E45" s="11">
        <v>100000</v>
      </c>
      <c r="F45" s="12">
        <f t="shared" si="0"/>
        <v>31149.5</v>
      </c>
    </row>
    <row r="46" spans="1:6" x14ac:dyDescent="0.35">
      <c r="A46" s="10"/>
      <c r="B46" s="10" t="s">
        <v>53</v>
      </c>
      <c r="C46" s="10"/>
      <c r="D46" s="11"/>
      <c r="E46" s="11">
        <v>3000</v>
      </c>
      <c r="F46" s="12">
        <f t="shared" si="0"/>
        <v>28149.5</v>
      </c>
    </row>
    <row r="47" spans="1:6" x14ac:dyDescent="0.35">
      <c r="A47" s="16" t="s">
        <v>54</v>
      </c>
      <c r="B47" s="16" t="s">
        <v>55</v>
      </c>
      <c r="C47" s="16"/>
      <c r="D47" s="17">
        <v>400000</v>
      </c>
      <c r="E47" s="17"/>
      <c r="F47" s="17">
        <f t="shared" si="0"/>
        <v>428149.5</v>
      </c>
    </row>
    <row r="48" spans="1:6" x14ac:dyDescent="0.35">
      <c r="A48" s="10"/>
      <c r="B48" s="10" t="s">
        <v>56</v>
      </c>
      <c r="C48" s="10"/>
      <c r="D48" s="11"/>
      <c r="E48" s="11">
        <v>400000</v>
      </c>
      <c r="F48" s="12">
        <f t="shared" si="0"/>
        <v>28149.5</v>
      </c>
    </row>
    <row r="49" spans="1:6" x14ac:dyDescent="0.35">
      <c r="A49" s="16" t="s">
        <v>57</v>
      </c>
      <c r="B49" s="16" t="s">
        <v>58</v>
      </c>
      <c r="C49" s="16"/>
      <c r="D49" s="17">
        <v>65400</v>
      </c>
      <c r="E49" s="17"/>
      <c r="F49" s="17">
        <f t="shared" si="0"/>
        <v>93549.5</v>
      </c>
    </row>
    <row r="50" spans="1:6" x14ac:dyDescent="0.35">
      <c r="A50" s="10"/>
      <c r="B50" s="10" t="s">
        <v>59</v>
      </c>
      <c r="C50" s="10"/>
      <c r="D50" s="11"/>
      <c r="E50" s="11">
        <v>30000</v>
      </c>
      <c r="F50" s="12">
        <f t="shared" si="0"/>
        <v>63549.5</v>
      </c>
    </row>
    <row r="51" spans="1:6" x14ac:dyDescent="0.35">
      <c r="A51" s="10"/>
      <c r="B51" s="10" t="s">
        <v>60</v>
      </c>
      <c r="C51" s="10"/>
      <c r="D51" s="11"/>
      <c r="E51" s="11">
        <v>35400</v>
      </c>
      <c r="F51" s="12">
        <f t="shared" si="0"/>
        <v>28149.5</v>
      </c>
    </row>
    <row r="52" spans="1:6" x14ac:dyDescent="0.35">
      <c r="A52" s="16" t="s">
        <v>61</v>
      </c>
      <c r="B52" s="16" t="s">
        <v>62</v>
      </c>
      <c r="C52" s="16"/>
      <c r="D52" s="17">
        <v>5615000</v>
      </c>
      <c r="E52" s="17"/>
      <c r="F52" s="17">
        <f t="shared" si="0"/>
        <v>5643149.5</v>
      </c>
    </row>
    <row r="53" spans="1:6" x14ac:dyDescent="0.35">
      <c r="A53" s="10"/>
      <c r="B53" s="10" t="s">
        <v>63</v>
      </c>
      <c r="C53" s="10"/>
      <c r="D53" s="11"/>
      <c r="E53" s="11">
        <v>4500000</v>
      </c>
      <c r="F53" s="12">
        <f t="shared" si="0"/>
        <v>1143149.5</v>
      </c>
    </row>
    <row r="54" spans="1:6" x14ac:dyDescent="0.35">
      <c r="A54" s="10"/>
      <c r="B54" s="10" t="s">
        <v>64</v>
      </c>
      <c r="C54" s="10"/>
      <c r="D54" s="11"/>
      <c r="E54" s="11">
        <v>125000</v>
      </c>
      <c r="F54" s="12">
        <f t="shared" si="0"/>
        <v>1018149.5</v>
      </c>
    </row>
    <row r="55" spans="1:6" x14ac:dyDescent="0.35">
      <c r="A55" s="10"/>
      <c r="B55" s="10" t="s">
        <v>52</v>
      </c>
      <c r="C55" s="10"/>
      <c r="D55" s="11"/>
      <c r="E55" s="11">
        <v>100000</v>
      </c>
      <c r="F55" s="12">
        <f t="shared" si="0"/>
        <v>918149.5</v>
      </c>
    </row>
    <row r="56" spans="1:6" x14ac:dyDescent="0.35">
      <c r="A56" s="10"/>
      <c r="B56" s="10" t="s">
        <v>65</v>
      </c>
      <c r="C56" s="10"/>
      <c r="D56" s="11"/>
      <c r="E56" s="11">
        <v>500000</v>
      </c>
      <c r="F56" s="12">
        <f t="shared" si="0"/>
        <v>418149.5</v>
      </c>
    </row>
    <row r="57" spans="1:6" x14ac:dyDescent="0.35">
      <c r="A57" s="10"/>
      <c r="B57" s="10" t="s">
        <v>66</v>
      </c>
      <c r="C57" s="10"/>
      <c r="D57" s="11"/>
      <c r="E57" s="11">
        <v>200000</v>
      </c>
      <c r="F57" s="12">
        <f t="shared" si="0"/>
        <v>218149.5</v>
      </c>
    </row>
    <row r="58" spans="1:6" x14ac:dyDescent="0.35">
      <c r="A58" s="10"/>
      <c r="B58" s="10" t="s">
        <v>67</v>
      </c>
      <c r="C58" s="10"/>
      <c r="D58" s="11"/>
      <c r="E58" s="11">
        <v>90000</v>
      </c>
      <c r="F58" s="12">
        <f t="shared" si="0"/>
        <v>128149.5</v>
      </c>
    </row>
    <row r="59" spans="1:6" x14ac:dyDescent="0.35">
      <c r="A59" s="10"/>
      <c r="B59" s="10" t="s">
        <v>68</v>
      </c>
      <c r="C59" s="10"/>
      <c r="D59" s="11"/>
      <c r="E59" s="11">
        <v>25000</v>
      </c>
      <c r="F59" s="12">
        <f t="shared" si="0"/>
        <v>103149.5</v>
      </c>
    </row>
    <row r="60" spans="1:6" x14ac:dyDescent="0.35">
      <c r="A60" s="10"/>
      <c r="B60" s="10" t="s">
        <v>30</v>
      </c>
      <c r="C60" s="10"/>
      <c r="D60" s="11"/>
      <c r="E60" s="11">
        <v>8900</v>
      </c>
      <c r="F60" s="12">
        <f t="shared" si="0"/>
        <v>94249.5</v>
      </c>
    </row>
    <row r="61" spans="1:6" x14ac:dyDescent="0.35">
      <c r="A61" s="16" t="s">
        <v>69</v>
      </c>
      <c r="B61" s="16" t="s">
        <v>70</v>
      </c>
      <c r="C61" s="16"/>
      <c r="D61" s="17">
        <v>10000</v>
      </c>
      <c r="E61" s="17"/>
      <c r="F61" s="17">
        <f t="shared" si="0"/>
        <v>104249.5</v>
      </c>
    </row>
    <row r="62" spans="1:6" x14ac:dyDescent="0.35">
      <c r="A62" s="10"/>
      <c r="B62" s="10" t="s">
        <v>71</v>
      </c>
      <c r="C62" s="10"/>
      <c r="D62" s="11"/>
      <c r="E62" s="11">
        <v>10000</v>
      </c>
      <c r="F62" s="12">
        <f t="shared" si="0"/>
        <v>94249.5</v>
      </c>
    </row>
    <row r="63" spans="1:6" x14ac:dyDescent="0.35">
      <c r="A63" s="16" t="s">
        <v>72</v>
      </c>
      <c r="B63" s="16" t="s">
        <v>73</v>
      </c>
      <c r="C63" s="16"/>
      <c r="D63" s="17">
        <v>9540000</v>
      </c>
      <c r="E63" s="17"/>
      <c r="F63" s="17">
        <f t="shared" si="0"/>
        <v>9634249.5</v>
      </c>
    </row>
    <row r="64" spans="1:6" x14ac:dyDescent="0.35">
      <c r="A64" s="10" t="s">
        <v>74</v>
      </c>
      <c r="B64" s="10" t="s">
        <v>75</v>
      </c>
      <c r="C64" s="10"/>
      <c r="D64" s="11"/>
      <c r="E64" s="11">
        <v>8000000</v>
      </c>
      <c r="F64" s="12">
        <f t="shared" si="0"/>
        <v>1634249.5</v>
      </c>
    </row>
    <row r="65" spans="1:6" x14ac:dyDescent="0.35">
      <c r="A65" s="10"/>
      <c r="B65" s="10" t="s">
        <v>76</v>
      </c>
      <c r="C65" s="10"/>
      <c r="D65" s="11"/>
      <c r="E65" s="11">
        <v>100000</v>
      </c>
      <c r="F65" s="12">
        <f t="shared" si="0"/>
        <v>1534249.5</v>
      </c>
    </row>
    <row r="66" spans="1:6" x14ac:dyDescent="0.35">
      <c r="A66" s="10"/>
      <c r="B66" s="10" t="s">
        <v>77</v>
      </c>
      <c r="C66" s="10"/>
      <c r="D66" s="11"/>
      <c r="E66" s="11">
        <v>30000</v>
      </c>
      <c r="F66" s="12">
        <f t="shared" si="0"/>
        <v>1504249.5</v>
      </c>
    </row>
    <row r="67" spans="1:6" x14ac:dyDescent="0.35">
      <c r="A67" s="10"/>
      <c r="B67" s="10" t="s">
        <v>7</v>
      </c>
      <c r="C67" s="10"/>
      <c r="D67" s="11"/>
      <c r="E67" s="11">
        <v>10000</v>
      </c>
      <c r="F67" s="12">
        <f t="shared" si="0"/>
        <v>1494249.5</v>
      </c>
    </row>
    <row r="68" spans="1:6" x14ac:dyDescent="0.35">
      <c r="A68" s="10"/>
      <c r="B68" s="10" t="s">
        <v>30</v>
      </c>
      <c r="C68" s="10"/>
      <c r="D68" s="11"/>
      <c r="E68" s="11">
        <v>11600</v>
      </c>
      <c r="F68" s="12">
        <f t="shared" ref="F68:F79" si="1">F67+D68-E68</f>
        <v>1482649.5</v>
      </c>
    </row>
    <row r="69" spans="1:6" x14ac:dyDescent="0.35">
      <c r="A69" s="10"/>
      <c r="B69" s="10" t="s">
        <v>78</v>
      </c>
      <c r="C69" s="10"/>
      <c r="D69" s="11"/>
      <c r="E69" s="11"/>
      <c r="F69" s="12">
        <f t="shared" si="1"/>
        <v>1482649.5</v>
      </c>
    </row>
    <row r="70" spans="1:6" x14ac:dyDescent="0.35">
      <c r="A70" s="10"/>
      <c r="B70" s="10" t="s">
        <v>79</v>
      </c>
      <c r="C70" s="18" t="s">
        <v>80</v>
      </c>
      <c r="D70" s="11"/>
      <c r="E70" s="11">
        <v>120000</v>
      </c>
      <c r="F70" s="12">
        <f t="shared" si="1"/>
        <v>1362649.5</v>
      </c>
    </row>
    <row r="71" spans="1:6" x14ac:dyDescent="0.35">
      <c r="A71" s="10"/>
      <c r="B71" s="10" t="s">
        <v>81</v>
      </c>
      <c r="C71" s="18" t="s">
        <v>82</v>
      </c>
      <c r="D71" s="11"/>
      <c r="E71" s="11">
        <v>70000</v>
      </c>
      <c r="F71" s="12">
        <f t="shared" si="1"/>
        <v>1292649.5</v>
      </c>
    </row>
    <row r="72" spans="1:6" x14ac:dyDescent="0.35">
      <c r="A72" s="10"/>
      <c r="B72" s="10" t="s">
        <v>83</v>
      </c>
      <c r="C72" s="18" t="s">
        <v>84</v>
      </c>
      <c r="D72" s="11"/>
      <c r="E72" s="11">
        <v>45000</v>
      </c>
      <c r="F72" s="12">
        <f t="shared" si="1"/>
        <v>1247649.5</v>
      </c>
    </row>
    <row r="73" spans="1:6" x14ac:dyDescent="0.35">
      <c r="A73" s="10"/>
      <c r="B73" s="10" t="s">
        <v>85</v>
      </c>
      <c r="C73" s="10"/>
      <c r="D73" s="11"/>
      <c r="E73" s="11">
        <v>45000</v>
      </c>
      <c r="F73" s="12">
        <f t="shared" si="1"/>
        <v>1202649.5</v>
      </c>
    </row>
    <row r="74" spans="1:6" x14ac:dyDescent="0.35">
      <c r="A74" s="10"/>
      <c r="B74" s="10" t="s">
        <v>86</v>
      </c>
      <c r="C74" s="10"/>
      <c r="D74" s="11"/>
      <c r="E74" s="11">
        <v>30000</v>
      </c>
      <c r="F74" s="12">
        <f t="shared" si="1"/>
        <v>1172649.5</v>
      </c>
    </row>
    <row r="75" spans="1:6" x14ac:dyDescent="0.35">
      <c r="A75" s="10"/>
      <c r="B75" s="10" t="s">
        <v>87</v>
      </c>
      <c r="C75" s="10"/>
      <c r="D75" s="11"/>
      <c r="E75" s="11">
        <v>10000</v>
      </c>
      <c r="F75" s="12">
        <f t="shared" si="1"/>
        <v>1162649.5</v>
      </c>
    </row>
    <row r="76" spans="1:6" x14ac:dyDescent="0.35">
      <c r="A76" s="10"/>
      <c r="B76" s="10" t="s">
        <v>88</v>
      </c>
      <c r="C76" s="10"/>
      <c r="D76" s="11"/>
      <c r="E76" s="11">
        <v>20000</v>
      </c>
      <c r="F76" s="12">
        <f t="shared" si="1"/>
        <v>1142649.5</v>
      </c>
    </row>
    <row r="77" spans="1:6" x14ac:dyDescent="0.35">
      <c r="A77" s="10"/>
      <c r="B77" s="10" t="s">
        <v>89</v>
      </c>
      <c r="C77" s="10"/>
      <c r="D77" s="11"/>
      <c r="E77" s="11">
        <v>9000</v>
      </c>
      <c r="F77" s="12">
        <f t="shared" si="1"/>
        <v>1133649.5</v>
      </c>
    </row>
    <row r="78" spans="1:6" x14ac:dyDescent="0.35">
      <c r="A78" s="10"/>
      <c r="B78" s="10" t="s">
        <v>90</v>
      </c>
      <c r="C78" s="10"/>
      <c r="D78" s="11"/>
      <c r="E78" s="11">
        <v>51000</v>
      </c>
      <c r="F78" s="12">
        <f t="shared" si="1"/>
        <v>1082649.5</v>
      </c>
    </row>
    <row r="79" spans="1:6" x14ac:dyDescent="0.35">
      <c r="A79" s="10"/>
      <c r="B79" s="10"/>
      <c r="C79" s="10"/>
      <c r="D79" s="10"/>
      <c r="E79" s="10"/>
      <c r="F79" s="12">
        <f t="shared" si="1"/>
        <v>1082649.5</v>
      </c>
    </row>
    <row r="80" spans="1:6" x14ac:dyDescent="0.35">
      <c r="A80" s="10"/>
      <c r="B80" s="10"/>
      <c r="C80" s="10"/>
      <c r="D80" s="10"/>
      <c r="E80" s="10"/>
      <c r="F80" s="12"/>
    </row>
    <row r="81" spans="1:6" x14ac:dyDescent="0.35">
      <c r="A81" s="10"/>
      <c r="B81" s="10"/>
      <c r="C81" s="10"/>
      <c r="D81" s="19">
        <f>SUM(D2:D79)</f>
        <v>28030234</v>
      </c>
      <c r="E81" s="19">
        <f>SUM(E2:E79)</f>
        <v>26993600</v>
      </c>
      <c r="F81" s="19">
        <f>D81-E81+F2</f>
        <v>1082649.5</v>
      </c>
    </row>
  </sheetData>
  <hyperlinks>
    <hyperlink ref="C70" r:id="rId1" xr:uid="{4FD16C5D-E1E6-4540-8CDB-BBC59AF021DD}"/>
    <hyperlink ref="C71" r:id="rId2" xr:uid="{67717D53-D5A9-4C7C-BF1A-0EAC6B7E26E3}"/>
    <hyperlink ref="C72" r:id="rId3" xr:uid="{9B1D4017-87ED-4C92-8233-CF6174E3984E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Mitchle</dc:creator>
  <cp:lastModifiedBy>mitchle musimenta</cp:lastModifiedBy>
  <dcterms:created xsi:type="dcterms:W3CDTF">2015-06-05T18:17:20Z</dcterms:created>
  <dcterms:modified xsi:type="dcterms:W3CDTF">2026-03-23T14:22:05Z</dcterms:modified>
</cp:coreProperties>
</file>